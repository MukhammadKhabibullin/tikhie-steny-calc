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0" windowWidth="15795" windowHeight="14970"/>
  </bookViews>
  <sheets>
    <sheet name="Лист1" sheetId="1" r:id="rId1"/>
  </sheets>
  <definedNames>
    <definedName name="_xlnm._FilterDatabase" localSheetId="0" hidden="1">Лист1!$D$13:$D$60</definedName>
    <definedName name="_xlnm.Print_Area" localSheetId="0">Лист1!$A$2:$F$124</definedName>
  </definedNames>
  <calcPr calcId="152511" refMode="R1C1"/>
</workbook>
</file>

<file path=xl/calcChain.xml><?xml version="1.0" encoding="utf-8"?>
<calcChain xmlns="http://schemas.openxmlformats.org/spreadsheetml/2006/main">
  <c r="I24" i="1"/>
  <c r="F24"/>
  <c r="J24"/>
  <c r="A24"/>
  <c r="F28"/>
  <c r="I28"/>
  <c r="I22"/>
  <c r="F22"/>
  <c r="A22"/>
  <c r="I23"/>
  <c r="F23"/>
  <c r="A23"/>
  <c r="I20"/>
  <c r="F20"/>
  <c r="I58"/>
  <c r="F58"/>
  <c r="I57"/>
  <c r="F57"/>
  <c r="J57"/>
  <c r="I56"/>
  <c r="F56"/>
  <c r="I55"/>
  <c r="J55"/>
  <c r="F55"/>
  <c r="I17"/>
  <c r="F17"/>
  <c r="I36"/>
  <c r="F36"/>
  <c r="I106"/>
  <c r="F61"/>
  <c r="F62"/>
  <c r="F63"/>
  <c r="F105"/>
  <c r="F106"/>
  <c r="F107"/>
  <c r="F108"/>
  <c r="J108"/>
  <c r="I112"/>
  <c r="I113"/>
  <c r="I114"/>
  <c r="I115"/>
  <c r="I116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7"/>
  <c r="I108"/>
  <c r="I109"/>
  <c r="I79"/>
  <c r="I80"/>
  <c r="I81"/>
  <c r="I76"/>
  <c r="I66"/>
  <c r="I67"/>
  <c r="I65"/>
  <c r="I59"/>
  <c r="I60"/>
  <c r="I61"/>
  <c r="I62"/>
  <c r="I63"/>
  <c r="J63"/>
  <c r="I54"/>
  <c r="I51"/>
  <c r="I21"/>
  <c r="I16"/>
  <c r="I18"/>
  <c r="I19"/>
  <c r="I25"/>
  <c r="I26"/>
  <c r="I27"/>
  <c r="I29"/>
  <c r="I30"/>
  <c r="I31"/>
  <c r="I32"/>
  <c r="I33"/>
  <c r="I34"/>
  <c r="I35"/>
  <c r="I37"/>
  <c r="I38"/>
  <c r="I39"/>
  <c r="I40"/>
  <c r="I41"/>
  <c r="I42"/>
  <c r="I44"/>
  <c r="I45"/>
  <c r="I46"/>
  <c r="I47"/>
  <c r="I48"/>
  <c r="I49"/>
  <c r="I43"/>
  <c r="I50"/>
  <c r="I52"/>
  <c r="I15"/>
  <c r="F112"/>
  <c r="J112"/>
  <c r="F113"/>
  <c r="F114"/>
  <c r="F115"/>
  <c r="F116"/>
  <c r="F84"/>
  <c r="J84"/>
  <c r="F85"/>
  <c r="J85"/>
  <c r="F86"/>
  <c r="J86"/>
  <c r="F87"/>
  <c r="F88"/>
  <c r="F89"/>
  <c r="F90"/>
  <c r="J90"/>
  <c r="F91"/>
  <c r="F92"/>
  <c r="J92"/>
  <c r="F93"/>
  <c r="J93"/>
  <c r="F94"/>
  <c r="J94"/>
  <c r="F95"/>
  <c r="J95"/>
  <c r="F96"/>
  <c r="J96"/>
  <c r="F97"/>
  <c r="J97"/>
  <c r="F98"/>
  <c r="J98"/>
  <c r="F99"/>
  <c r="J99"/>
  <c r="F100"/>
  <c r="J100"/>
  <c r="F101"/>
  <c r="J101"/>
  <c r="F102"/>
  <c r="J102"/>
  <c r="F103"/>
  <c r="F104"/>
  <c r="F109"/>
  <c r="J109"/>
  <c r="F83"/>
  <c r="F79"/>
  <c r="J79"/>
  <c r="F80"/>
  <c r="F81"/>
  <c r="J81"/>
  <c r="F66"/>
  <c r="F67"/>
  <c r="F60"/>
  <c r="J60"/>
  <c r="F34"/>
  <c r="F35"/>
  <c r="F37"/>
  <c r="F38"/>
  <c r="F39"/>
  <c r="F40"/>
  <c r="F41"/>
  <c r="F42"/>
  <c r="F44"/>
  <c r="F45"/>
  <c r="F46"/>
  <c r="F47"/>
  <c r="F19"/>
  <c r="F25"/>
  <c r="F26"/>
  <c r="F27"/>
  <c r="F15"/>
  <c r="F43"/>
  <c r="F49"/>
  <c r="F48"/>
  <c r="F76"/>
  <c r="F51"/>
  <c r="F52"/>
  <c r="A15"/>
  <c r="F30"/>
  <c r="J30"/>
  <c r="F50"/>
  <c r="F29"/>
  <c r="F18"/>
  <c r="F16"/>
  <c r="A21"/>
  <c r="F21"/>
  <c r="F31"/>
  <c r="F32"/>
  <c r="F33"/>
  <c r="F54"/>
  <c r="F59"/>
  <c r="J59"/>
  <c r="F65"/>
  <c r="A75"/>
  <c r="F75"/>
  <c r="J75"/>
  <c r="I75"/>
  <c r="F78"/>
  <c r="J78"/>
  <c r="I78"/>
  <c r="I83"/>
  <c r="F111"/>
  <c r="J111"/>
  <c r="I111"/>
  <c r="J113"/>
  <c r="J104"/>
  <c r="J19"/>
  <c r="J31"/>
  <c r="J48"/>
  <c r="J49"/>
  <c r="J18"/>
  <c r="J36"/>
  <c r="J28"/>
  <c r="J67"/>
  <c r="J26"/>
  <c r="J38"/>
  <c r="J23"/>
  <c r="J50"/>
  <c r="J45"/>
  <c r="J15"/>
  <c r="J44"/>
  <c r="J34"/>
  <c r="J22"/>
  <c r="J20"/>
  <c r="J46"/>
  <c r="J80"/>
  <c r="J66"/>
  <c r="J105"/>
  <c r="J89"/>
  <c r="J114"/>
  <c r="J62"/>
  <c r="J37"/>
  <c r="J91"/>
  <c r="J116"/>
  <c r="J61"/>
  <c r="J56"/>
  <c r="J65"/>
  <c r="J76"/>
  <c r="J25"/>
  <c r="J40"/>
  <c r="J103"/>
  <c r="J87"/>
  <c r="J43"/>
  <c r="J27"/>
  <c r="J83"/>
  <c r="J115"/>
  <c r="J54"/>
  <c r="J88"/>
  <c r="J107"/>
  <c r="J106"/>
  <c r="I118"/>
  <c r="I121"/>
  <c r="J58"/>
  <c r="J52"/>
  <c r="J51"/>
  <c r="J47"/>
  <c r="J42"/>
  <c r="J41"/>
  <c r="J39"/>
  <c r="J35"/>
  <c r="J33"/>
  <c r="J32"/>
  <c r="J29"/>
  <c r="J16"/>
  <c r="I69"/>
  <c r="I120"/>
  <c r="J17"/>
  <c r="J21"/>
  <c r="I124"/>
  <c r="J118"/>
  <c r="J121"/>
  <c r="F118"/>
  <c r="J69"/>
  <c r="J120"/>
  <c r="F69"/>
  <c r="F120"/>
  <c r="F123"/>
  <c r="J124"/>
  <c r="F122"/>
  <c r="F121"/>
  <c r="F124"/>
  <c r="C9"/>
  <c r="C10"/>
</calcChain>
</file>

<file path=xl/sharedStrings.xml><?xml version="1.0" encoding="utf-8"?>
<sst xmlns="http://schemas.openxmlformats.org/spreadsheetml/2006/main" count="235" uniqueCount="137">
  <si>
    <t xml:space="preserve">Наименование работ </t>
  </si>
  <si>
    <t>м2</t>
  </si>
  <si>
    <t>м</t>
  </si>
  <si>
    <t>шт</t>
  </si>
  <si>
    <t>руб.</t>
  </si>
  <si>
    <t>Заказчик:</t>
  </si>
  <si>
    <t>Адрес объекта:</t>
  </si>
  <si>
    <t>№п/п</t>
  </si>
  <si>
    <t>Кол-во</t>
  </si>
  <si>
    <t>Сумма</t>
  </si>
  <si>
    <t>Материалы</t>
  </si>
  <si>
    <t>Итого материалы</t>
  </si>
  <si>
    <t>Работы</t>
  </si>
  <si>
    <t>Наименование материала</t>
  </si>
  <si>
    <t>Итого работы</t>
  </si>
  <si>
    <t>Стоимость ед.</t>
  </si>
  <si>
    <t>Телефон:</t>
  </si>
  <si>
    <t>Цена закупки</t>
  </si>
  <si>
    <t>Сумма ЗП монтажников</t>
  </si>
  <si>
    <t>Маржа</t>
  </si>
  <si>
    <t>Материалы и профильные системы</t>
  </si>
  <si>
    <t xml:space="preserve">Освещение </t>
  </si>
  <si>
    <t>Монтаж нестандартной геометрии (перехода, выступы, ниши) ИНДИВИДУАЛЬНО</t>
  </si>
  <si>
    <t>Монтаж настенного светильника (бра)</t>
  </si>
  <si>
    <t>Монтаж фанеры</t>
  </si>
  <si>
    <t>Монтаж системы (каркас+мембрана+ткань)</t>
  </si>
  <si>
    <t>Закладная под плинтус (декор, лепнину, молдинг)</t>
  </si>
  <si>
    <t>руб./м2</t>
  </si>
  <si>
    <t>Сметная стоимость:</t>
  </si>
  <si>
    <t>Обход оконного/дверного проема (без откоса)</t>
  </si>
  <si>
    <t>Обход оконного/дверного проема с закладной под наличник (без откоса)</t>
  </si>
  <si>
    <t>КОММЕРЧЕСКОЕ ПРЕДЛОЖЕНИЕ</t>
  </si>
  <si>
    <t>Закладная под настенный светильник/бра (стандарт)</t>
  </si>
  <si>
    <t>Закладная для навесной техники (мебели, карнизов, зеркал, декора, радиаторов)</t>
  </si>
  <si>
    <t>Монтаж тканевого полотна</t>
  </si>
  <si>
    <t>Профиль с рассеивателем под диодную ленту (секрет)</t>
  </si>
  <si>
    <t xml:space="preserve">Нестандартная закладная </t>
  </si>
  <si>
    <t>Накладные и транспортные расходы (минимум 6500руб.)</t>
  </si>
  <si>
    <t>коэфф.</t>
  </si>
  <si>
    <t>Закупка - доход</t>
  </si>
  <si>
    <t>ЗП монтажн-в за ед.</t>
  </si>
  <si>
    <t>Ед.изм</t>
  </si>
  <si>
    <t>Ст-ть закупки</t>
  </si>
  <si>
    <t xml:space="preserve">Основание:     </t>
  </si>
  <si>
    <t>Проект/Техническое задание</t>
  </si>
  <si>
    <t>Доп. Работы</t>
  </si>
  <si>
    <t>Монтаж системы - профиль тканевый (обернутый)</t>
  </si>
  <si>
    <t>Монтаж розеток,/выключателей (1 пост)</t>
  </si>
  <si>
    <t>Монтаж диодной ленты</t>
  </si>
  <si>
    <t>Подключение блока питания</t>
  </si>
  <si>
    <t>Освещение</t>
  </si>
  <si>
    <t>Монтаж закладной для настенного светильника (бра)</t>
  </si>
  <si>
    <t>Обход стандартной двери (90х200)</t>
  </si>
  <si>
    <t>Монтаж системы на полотно скрытой двери</t>
  </si>
  <si>
    <t>Монтаж закладной для навесной техники (мебели, карнизов, зеркал, декора, радиаторов)</t>
  </si>
  <si>
    <t>Подключение приемника (усилителя, делителя фаз)</t>
  </si>
  <si>
    <t>S стен:</t>
  </si>
  <si>
    <t>упак.</t>
  </si>
  <si>
    <t>Коммуникации, техника, электрика</t>
  </si>
  <si>
    <r>
      <t xml:space="preserve">Профиль ТС </t>
    </r>
    <r>
      <rPr>
        <b/>
        <sz val="11"/>
        <rFont val="Arial"/>
        <family val="2"/>
        <charset val="204"/>
      </rPr>
      <t>Конструкционный, черный</t>
    </r>
    <r>
      <rPr>
        <sz val="11"/>
        <rFont val="Arial"/>
        <family val="2"/>
        <charset val="204"/>
      </rPr>
      <t xml:space="preserve"> (2,0м)</t>
    </r>
  </si>
  <si>
    <r>
      <t xml:space="preserve">Профиль ТС </t>
    </r>
    <r>
      <rPr>
        <b/>
        <sz val="11"/>
        <rFont val="Arial"/>
        <family val="2"/>
        <charset val="204"/>
      </rPr>
      <t>Стена-Потолок, черный</t>
    </r>
    <r>
      <rPr>
        <sz val="11"/>
        <rFont val="Arial"/>
        <family val="2"/>
        <charset val="204"/>
      </rPr>
      <t xml:space="preserve"> (2,0м)</t>
    </r>
  </si>
  <si>
    <t>Монтаж закладной под розетку/выкл. (до 4х постов)</t>
  </si>
  <si>
    <t>Труднодоступный монтаж</t>
  </si>
  <si>
    <t>Монтаж закладной под плинтус/лепнину/молдинг 
(полоса до 20см)</t>
  </si>
  <si>
    <t>Пайка светодиодной ленты</t>
  </si>
  <si>
    <t>Выравнивание геометрии для формирования оконного/дверного проема (с материалом)</t>
  </si>
  <si>
    <r>
      <rPr>
        <b/>
        <sz val="11"/>
        <rFont val="Arial"/>
        <family val="2"/>
        <charset val="204"/>
      </rPr>
      <t xml:space="preserve">Разделитель </t>
    </r>
    <r>
      <rPr>
        <sz val="11"/>
        <rFont val="Arial"/>
        <family val="2"/>
        <charset val="204"/>
      </rPr>
      <t xml:space="preserve">теневой ТС </t>
    </r>
    <r>
      <rPr>
        <b/>
        <sz val="11"/>
        <rFont val="Arial"/>
        <family val="2"/>
        <charset val="204"/>
      </rPr>
      <t>2мм</t>
    </r>
    <r>
      <rPr>
        <sz val="11"/>
        <rFont val="Arial"/>
        <family val="2"/>
        <charset val="204"/>
      </rPr>
      <t xml:space="preserve">, </t>
    </r>
    <r>
      <rPr>
        <b/>
        <sz val="11"/>
        <rFont val="Arial"/>
        <family val="2"/>
        <charset val="204"/>
      </rPr>
      <t>черный/белый</t>
    </r>
    <r>
      <rPr>
        <sz val="11"/>
        <rFont val="Arial"/>
        <family val="2"/>
        <charset val="204"/>
      </rPr>
      <t xml:space="preserve"> (2,0м)</t>
    </r>
  </si>
  <si>
    <t>Лента светодиодная COB 24В</t>
  </si>
  <si>
    <t>Фанера шлифованная 12мм</t>
  </si>
  <si>
    <r>
      <t>Монтаж системы (</t>
    </r>
    <r>
      <rPr>
        <sz val="11"/>
        <color indexed="8"/>
        <rFont val="Arial"/>
        <family val="2"/>
        <charset val="204"/>
      </rPr>
      <t>каркас+войлок+ткань</t>
    </r>
    <r>
      <rPr>
        <sz val="11"/>
        <color theme="1"/>
        <rFont val="Arial"/>
        <family val="2"/>
        <charset val="204"/>
      </rPr>
      <t>)</t>
    </r>
  </si>
  <si>
    <t>Монтаж звукоизоляционного материала более 10мм</t>
  </si>
  <si>
    <t>Монтаж системы - угол (внешний/внутренний)</t>
  </si>
  <si>
    <r>
      <rPr>
        <b/>
        <sz val="11"/>
        <rFont val="Arial"/>
        <family val="2"/>
        <charset val="204"/>
      </rPr>
      <t>Отбойник</t>
    </r>
    <r>
      <rPr>
        <sz val="11"/>
        <rFont val="Arial"/>
        <family val="2"/>
        <charset val="204"/>
      </rPr>
      <t xml:space="preserve"> ТС, </t>
    </r>
    <r>
      <rPr>
        <b/>
        <sz val="11"/>
        <rFont val="Arial"/>
        <family val="2"/>
        <charset val="204"/>
      </rPr>
      <t>некрашеный</t>
    </r>
    <r>
      <rPr>
        <sz val="11"/>
        <rFont val="Arial"/>
        <family val="2"/>
        <charset val="204"/>
      </rPr>
      <t xml:space="preserve"> (2,0м/3,0м)</t>
    </r>
  </si>
  <si>
    <r>
      <t xml:space="preserve">Профиль ТС </t>
    </r>
    <r>
      <rPr>
        <b/>
        <sz val="11"/>
        <rFont val="Arial"/>
        <family val="2"/>
        <charset val="204"/>
      </rPr>
      <t>Внутр.угол</t>
    </r>
    <r>
      <rPr>
        <sz val="11"/>
        <rFont val="Arial"/>
        <family val="2"/>
        <charset val="204"/>
      </rPr>
      <t xml:space="preserve">, </t>
    </r>
    <r>
      <rPr>
        <b/>
        <sz val="11"/>
        <rFont val="Arial"/>
        <family val="2"/>
        <charset val="204"/>
      </rPr>
      <t>некрашеный</t>
    </r>
    <r>
      <rPr>
        <sz val="11"/>
        <rFont val="Arial"/>
        <family val="2"/>
        <charset val="204"/>
      </rPr>
      <t xml:space="preserve"> (2,0м)</t>
    </r>
  </si>
  <si>
    <r>
      <t xml:space="preserve">Профиль ТС </t>
    </r>
    <r>
      <rPr>
        <b/>
        <sz val="11"/>
        <rFont val="Arial"/>
        <family val="2"/>
        <charset val="204"/>
      </rPr>
      <t>Конструктор 5см, черный</t>
    </r>
    <r>
      <rPr>
        <sz val="11"/>
        <rFont val="Arial"/>
        <family val="2"/>
        <charset val="204"/>
      </rPr>
      <t xml:space="preserve"> (2,0м)</t>
    </r>
  </si>
  <si>
    <r>
      <t>Профиль ТС</t>
    </r>
    <r>
      <rPr>
        <b/>
        <sz val="11"/>
        <rFont val="Arial"/>
        <family val="2"/>
        <charset val="204"/>
      </rPr>
      <t xml:space="preserve"> Бокс (Стена-Потолок) черный</t>
    </r>
    <r>
      <rPr>
        <sz val="11"/>
        <rFont val="Arial"/>
        <family val="2"/>
        <charset val="204"/>
      </rPr>
      <t xml:space="preserve"> (2,0м)</t>
    </r>
  </si>
  <si>
    <t xml:space="preserve">Обработка угла на откосе </t>
  </si>
  <si>
    <t>Монтаж профиля Тихие стены (все, кроме каскада)</t>
  </si>
  <si>
    <t>Монтаж системы - Теневой разделитель ТС (2 полотна)</t>
  </si>
  <si>
    <t>Монтаж Световой линии ТС (2 полотна)</t>
  </si>
  <si>
    <t>Монтаж рассеивателя (каскад, световая линия, плинтус с подсветкой)</t>
  </si>
  <si>
    <t>Обработка доп. угла базового (балки, лестницы и т.д)</t>
  </si>
  <si>
    <t>Обработка углов/торцов/стыков теневого разделителя</t>
  </si>
  <si>
    <t>Монтаж мембраны 10мм</t>
  </si>
  <si>
    <t>Монтаж войлока 10мм</t>
  </si>
  <si>
    <t>Монтаж профиля ТС Каскад</t>
  </si>
  <si>
    <t>Обработка углов/торца ТС Каскад</t>
  </si>
  <si>
    <t>Обработка углов/торцов Световая линия ТС</t>
  </si>
  <si>
    <t>Обход оконного/дверного проема (с откосом из тка ни)</t>
  </si>
  <si>
    <t>Монтаж перекрестий Световая линия ТС</t>
  </si>
  <si>
    <r>
      <rPr>
        <b/>
        <sz val="12"/>
        <rFont val="Calibri"/>
        <family val="2"/>
        <charset val="204"/>
      </rPr>
      <t xml:space="preserve">Официальный Партнер </t>
    </r>
    <r>
      <rPr>
        <sz val="12"/>
        <rFont val="Calibri"/>
        <family val="2"/>
        <charset val="204"/>
      </rPr>
      <t xml:space="preserve">
</t>
    </r>
    <r>
      <rPr>
        <b/>
        <sz val="12"/>
        <rFont val="Calibri"/>
        <family val="2"/>
        <charset val="204"/>
      </rPr>
      <t>ООО "Тихие стены"</t>
    </r>
    <r>
      <rPr>
        <sz val="12"/>
        <rFont val="Calibri"/>
        <family val="2"/>
        <charset val="204"/>
      </rPr>
      <t xml:space="preserve">
</t>
    </r>
  </si>
  <si>
    <t>Надбавка за высоту, работа с туры</t>
  </si>
  <si>
    <t>Надбавка за высоту 3,5 - 5, м работа с туры</t>
  </si>
  <si>
    <t>Надбавка за высоту 5 - 8 м, работа с туры</t>
  </si>
  <si>
    <r>
      <t xml:space="preserve">Профиль ТС </t>
    </r>
    <r>
      <rPr>
        <b/>
        <sz val="11"/>
        <rFont val="Arial"/>
        <family val="2"/>
        <charset val="204"/>
      </rPr>
      <t xml:space="preserve">Окно-Откос, некрашеный </t>
    </r>
    <r>
      <rPr>
        <sz val="11"/>
        <rFont val="Arial"/>
        <family val="2"/>
        <charset val="204"/>
      </rPr>
      <t>(2,0м)</t>
    </r>
  </si>
  <si>
    <r>
      <t xml:space="preserve">Профиль ТС </t>
    </r>
    <r>
      <rPr>
        <b/>
        <sz val="11"/>
        <rFont val="Arial"/>
        <family val="2"/>
        <charset val="204"/>
      </rPr>
      <t xml:space="preserve">Окно-Откос, черный/белый </t>
    </r>
    <r>
      <rPr>
        <sz val="11"/>
        <rFont val="Arial"/>
        <family val="2"/>
        <charset val="204"/>
      </rPr>
      <t>(2,0м)</t>
    </r>
  </si>
  <si>
    <t>Рассеиватель 16мм черный для Световой линии и плинтусов с подсветкой, каскада (2,0м)</t>
  </si>
  <si>
    <r>
      <rPr>
        <b/>
        <sz val="11"/>
        <rFont val="Arial"/>
        <family val="2"/>
        <charset val="204"/>
      </rPr>
      <t>Плинтус</t>
    </r>
    <r>
      <rPr>
        <sz val="11"/>
        <rFont val="Arial"/>
        <family val="2"/>
        <charset val="204"/>
      </rPr>
      <t xml:space="preserve"> ТС </t>
    </r>
    <r>
      <rPr>
        <b/>
        <sz val="11"/>
        <rFont val="Arial"/>
        <family val="2"/>
        <charset val="204"/>
      </rPr>
      <t>Контур</t>
    </r>
    <r>
      <rPr>
        <sz val="11"/>
        <rFont val="Arial"/>
        <family val="2"/>
        <charset val="204"/>
      </rPr>
      <t xml:space="preserve"> 15мм </t>
    </r>
    <r>
      <rPr>
        <b/>
        <sz val="11"/>
        <rFont val="Arial"/>
        <family val="2"/>
        <charset val="204"/>
      </rPr>
      <t>с подсветкой</t>
    </r>
    <r>
      <rPr>
        <sz val="11"/>
        <rFont val="Arial"/>
        <family val="2"/>
        <charset val="204"/>
      </rPr>
      <t xml:space="preserve">, </t>
    </r>
    <r>
      <rPr>
        <b/>
        <sz val="11"/>
        <rFont val="Arial"/>
        <family val="2"/>
        <charset val="204"/>
      </rPr>
      <t>черный</t>
    </r>
    <r>
      <rPr>
        <sz val="11"/>
        <rFont val="Arial"/>
        <family val="2"/>
        <charset val="204"/>
      </rPr>
      <t xml:space="preserve"> (2,0м)</t>
    </r>
  </si>
  <si>
    <r>
      <t xml:space="preserve">ТС </t>
    </r>
    <r>
      <rPr>
        <b/>
        <sz val="11"/>
        <rFont val="Arial"/>
        <family val="2"/>
        <charset val="204"/>
      </rPr>
      <t xml:space="preserve">КОМФОРТ Г1 </t>
    </r>
    <r>
      <rPr>
        <sz val="11"/>
        <rFont val="Arial"/>
        <family val="2"/>
        <charset val="204"/>
      </rPr>
      <t>(3,25м) 275г/м2 (Г1 В1 Д2 Т2) Россия (под заказ)</t>
    </r>
  </si>
  <si>
    <r>
      <t xml:space="preserve">Архитектурный текстиль </t>
    </r>
    <r>
      <rPr>
        <b/>
        <sz val="11"/>
        <rFont val="Arial"/>
        <family val="2"/>
        <charset val="204"/>
      </rPr>
      <t xml:space="preserve">Штукатурка </t>
    </r>
    <r>
      <rPr>
        <sz val="11"/>
        <rFont val="Arial"/>
        <family val="2"/>
        <charset val="204"/>
      </rPr>
      <t>(2,9м; 3,2м) С.Корея 285г/м2</t>
    </r>
  </si>
  <si>
    <r>
      <t xml:space="preserve">Архитектурный текстиль </t>
    </r>
    <r>
      <rPr>
        <b/>
        <sz val="11"/>
        <rFont val="Arial"/>
        <family val="2"/>
        <charset val="204"/>
      </rPr>
      <t xml:space="preserve">Узор </t>
    </r>
    <r>
      <rPr>
        <sz val="11"/>
        <rFont val="Arial"/>
        <family val="2"/>
        <charset val="204"/>
      </rPr>
      <t>(3,2м) С.Корея 285г/м2</t>
    </r>
  </si>
  <si>
    <r>
      <t xml:space="preserve">Архитектурный текстиль </t>
    </r>
    <r>
      <rPr>
        <b/>
        <sz val="11"/>
        <rFont val="Arial"/>
        <family val="2"/>
        <charset val="204"/>
      </rPr>
      <t xml:space="preserve">Celena </t>
    </r>
    <r>
      <rPr>
        <sz val="11"/>
        <rFont val="Arial"/>
        <family val="2"/>
        <charset val="204"/>
      </rPr>
      <t>(Германия) (3,1м)</t>
    </r>
  </si>
  <si>
    <r>
      <t xml:space="preserve">Акустический текстиль </t>
    </r>
    <r>
      <rPr>
        <b/>
        <sz val="11"/>
        <rFont val="Arial"/>
        <family val="2"/>
        <charset val="204"/>
      </rPr>
      <t>Акустик</t>
    </r>
    <r>
      <rPr>
        <sz val="11"/>
        <rFont val="Arial"/>
        <family val="2"/>
        <charset val="204"/>
      </rPr>
      <t xml:space="preserve"> (3,2м) Германия 245г/м2</t>
    </r>
  </si>
  <si>
    <r>
      <t>Акустический текстиль Silencio (</t>
    </r>
    <r>
      <rPr>
        <b/>
        <sz val="11"/>
        <rFont val="Arial"/>
        <family val="2"/>
        <charset val="204"/>
      </rPr>
      <t>Вафля</t>
    </r>
    <r>
      <rPr>
        <sz val="11"/>
        <rFont val="Arial"/>
        <family val="2"/>
        <charset val="204"/>
      </rPr>
      <t>) (3,2м/5,05м)</t>
    </r>
  </si>
  <si>
    <r>
      <t xml:space="preserve">Акустическая </t>
    </r>
    <r>
      <rPr>
        <b/>
        <sz val="11"/>
        <rFont val="Arial"/>
        <family val="2"/>
        <charset val="204"/>
      </rPr>
      <t>мембрана</t>
    </r>
    <r>
      <rPr>
        <sz val="11"/>
        <rFont val="Arial"/>
        <family val="2"/>
        <charset val="204"/>
      </rPr>
      <t xml:space="preserve"> 10мм (1,05м) 250г/м2</t>
    </r>
  </si>
  <si>
    <t xml:space="preserve">Акустический войлок 1300гр/м2 10мм (1,8м) </t>
  </si>
  <si>
    <r>
      <t xml:space="preserve">Профиль ТС </t>
    </r>
    <r>
      <rPr>
        <b/>
        <sz val="11"/>
        <rFont val="Arial"/>
        <family val="2"/>
        <charset val="204"/>
      </rPr>
      <t>Базовый, некрашеный</t>
    </r>
    <r>
      <rPr>
        <sz val="11"/>
        <rFont val="Arial"/>
        <family val="2"/>
        <charset val="204"/>
      </rPr>
      <t xml:space="preserve"> (2,0м)</t>
    </r>
  </si>
  <si>
    <r>
      <t xml:space="preserve">Профиль ТС </t>
    </r>
    <r>
      <rPr>
        <b/>
        <sz val="11"/>
        <rFont val="Arial"/>
        <family val="2"/>
        <charset val="204"/>
      </rPr>
      <t>Базовый, черный/белый</t>
    </r>
    <r>
      <rPr>
        <sz val="11"/>
        <rFont val="Arial"/>
        <family val="2"/>
        <charset val="204"/>
      </rPr>
      <t xml:space="preserve"> (2,0м)</t>
    </r>
  </si>
  <si>
    <r>
      <rPr>
        <b/>
        <sz val="11"/>
        <rFont val="Arial"/>
        <family val="2"/>
        <charset val="204"/>
      </rPr>
      <t>Плинтус</t>
    </r>
    <r>
      <rPr>
        <sz val="11"/>
        <rFont val="Arial"/>
        <family val="2"/>
        <charset val="204"/>
      </rPr>
      <t xml:space="preserve"> ТС </t>
    </r>
    <r>
      <rPr>
        <b/>
        <sz val="11"/>
        <rFont val="Arial"/>
        <family val="2"/>
        <charset val="204"/>
      </rPr>
      <t>Теневой Мини 15мм, черный</t>
    </r>
    <r>
      <rPr>
        <sz val="11"/>
        <rFont val="Arial"/>
        <family val="2"/>
        <charset val="204"/>
      </rPr>
      <t xml:space="preserve"> (2,0м)</t>
    </r>
  </si>
  <si>
    <r>
      <rPr>
        <sz val="11"/>
        <rFont val="Arial"/>
        <family val="2"/>
        <charset val="204"/>
      </rPr>
      <t>Профиль ТС</t>
    </r>
    <r>
      <rPr>
        <b/>
        <sz val="11"/>
        <rFont val="Arial"/>
        <family val="2"/>
        <charset val="204"/>
      </rPr>
      <t xml:space="preserve"> КАСКАД, некрашенный</t>
    </r>
    <r>
      <rPr>
        <sz val="11"/>
        <rFont val="Arial"/>
        <family val="2"/>
        <charset val="204"/>
      </rPr>
      <t xml:space="preserve"> (2,0м)</t>
    </r>
  </si>
  <si>
    <r>
      <rPr>
        <b/>
        <sz val="11"/>
        <rFont val="Arial"/>
        <family val="2"/>
        <charset val="204"/>
      </rPr>
      <t>Плинтус</t>
    </r>
    <r>
      <rPr>
        <sz val="11"/>
        <rFont val="Arial"/>
        <family val="2"/>
        <charset val="204"/>
      </rPr>
      <t xml:space="preserve"> ТС </t>
    </r>
    <r>
      <rPr>
        <b/>
        <sz val="11"/>
        <rFont val="Arial"/>
        <family val="2"/>
        <charset val="204"/>
      </rPr>
      <t>Контур Плюс</t>
    </r>
    <r>
      <rPr>
        <sz val="11"/>
        <rFont val="Arial"/>
        <family val="2"/>
        <charset val="204"/>
      </rPr>
      <t xml:space="preserve"> теневой 15мм </t>
    </r>
    <r>
      <rPr>
        <b/>
        <sz val="11"/>
        <rFont val="Arial"/>
        <family val="2"/>
        <charset val="204"/>
      </rPr>
      <t xml:space="preserve">с подсветкой, черный </t>
    </r>
    <r>
      <rPr>
        <sz val="11"/>
        <rFont val="Arial"/>
        <family val="2"/>
        <charset val="204"/>
      </rPr>
      <t>(2,0м)</t>
    </r>
  </si>
  <si>
    <r>
      <rPr>
        <b/>
        <sz val="11"/>
        <rFont val="Arial"/>
        <family val="2"/>
        <charset val="204"/>
      </rPr>
      <t xml:space="preserve">Световая Линия </t>
    </r>
    <r>
      <rPr>
        <sz val="11"/>
        <rFont val="Arial"/>
        <family val="2"/>
        <charset val="204"/>
      </rPr>
      <t>ТС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16мм</t>
    </r>
    <r>
      <rPr>
        <b/>
        <sz val="11"/>
        <rFont val="Arial"/>
        <family val="2"/>
        <charset val="204"/>
      </rPr>
      <t xml:space="preserve">, черный/белый </t>
    </r>
    <r>
      <rPr>
        <sz val="11"/>
        <rFont val="Arial"/>
        <family val="2"/>
        <charset val="204"/>
      </rPr>
      <t>(2,0м)</t>
    </r>
  </si>
  <si>
    <r>
      <rPr>
        <b/>
        <sz val="11"/>
        <rFont val="Arial"/>
        <family val="2"/>
        <charset val="204"/>
      </rPr>
      <t>Отбойник Круглый</t>
    </r>
    <r>
      <rPr>
        <sz val="11"/>
        <rFont val="Arial"/>
        <family val="2"/>
        <charset val="204"/>
      </rPr>
      <t xml:space="preserve"> ТС, черный (2,0м) </t>
    </r>
  </si>
  <si>
    <r>
      <t xml:space="preserve">Разделитель </t>
    </r>
    <r>
      <rPr>
        <sz val="11"/>
        <rFont val="Arial"/>
        <family val="2"/>
        <charset val="204"/>
      </rPr>
      <t xml:space="preserve">ТС под </t>
    </r>
    <r>
      <rPr>
        <b/>
        <sz val="11"/>
        <rFont val="Arial"/>
        <family val="2"/>
        <charset val="204"/>
      </rPr>
      <t xml:space="preserve">Т-профиль </t>
    </r>
    <r>
      <rPr>
        <sz val="11"/>
        <rFont val="Arial"/>
        <family val="2"/>
        <charset val="204"/>
      </rPr>
      <t>(2,0м)</t>
    </r>
  </si>
  <si>
    <r>
      <rPr>
        <b/>
        <sz val="11"/>
        <rFont val="Arial"/>
        <family val="2"/>
        <charset val="204"/>
      </rPr>
      <t xml:space="preserve">Соединитель </t>
    </r>
    <r>
      <rPr>
        <sz val="11"/>
        <rFont val="Arial"/>
        <family val="2"/>
        <charset val="204"/>
      </rPr>
      <t xml:space="preserve">БАЗОВЫЙ </t>
    </r>
    <r>
      <rPr>
        <b/>
        <sz val="11"/>
        <rFont val="Arial"/>
        <family val="2"/>
        <charset val="204"/>
      </rPr>
      <t>№1</t>
    </r>
    <r>
      <rPr>
        <sz val="11"/>
        <rFont val="Arial"/>
        <family val="2"/>
        <charset val="204"/>
      </rPr>
      <t xml:space="preserve"> (внутр. угол), Комплект 10шт</t>
    </r>
  </si>
  <si>
    <r>
      <rPr>
        <b/>
        <sz val="11"/>
        <rFont val="Arial"/>
        <family val="2"/>
        <charset val="204"/>
      </rPr>
      <t>Соединитель №2</t>
    </r>
    <r>
      <rPr>
        <sz val="11"/>
        <rFont val="Arial"/>
        <family val="2"/>
        <charset val="204"/>
      </rPr>
      <t xml:space="preserve"> ДВА БАЗОВЫХ С ОТБОЙНИКОМ
(Для внешних углов) Комплект 10шт</t>
    </r>
  </si>
  <si>
    <r>
      <rPr>
        <b/>
        <sz val="11"/>
        <rFont val="Arial"/>
        <family val="2"/>
        <charset val="204"/>
      </rPr>
      <t>Соединитель №3</t>
    </r>
    <r>
      <rPr>
        <sz val="11"/>
        <rFont val="Arial"/>
        <family val="2"/>
        <charset val="204"/>
      </rPr>
      <t xml:space="preserve"> ДВА БАЗОВЫХ С ВНУТРЕННИМ УГЛОМ (Для внутренних) Комплект (5шт Левых, 5шт Правых)</t>
    </r>
  </si>
  <si>
    <t>Смета составлена в ценах 1 квартала 2026 года</t>
  </si>
  <si>
    <t>Блок питания 24В</t>
  </si>
  <si>
    <r>
      <t xml:space="preserve">Архитектурный текстиль </t>
    </r>
    <r>
      <rPr>
        <b/>
        <sz val="11"/>
        <rFont val="Arial"/>
        <family val="2"/>
        <charset val="204"/>
      </rPr>
      <t>ЛУНА</t>
    </r>
    <r>
      <rPr>
        <sz val="11"/>
        <rFont val="Arial"/>
        <family val="2"/>
        <charset val="204"/>
      </rPr>
      <t xml:space="preserve"> (2,9м) Турция, 245г/м2</t>
    </r>
  </si>
  <si>
    <r>
      <t xml:space="preserve">Архитектурный текстиль </t>
    </r>
    <r>
      <rPr>
        <b/>
        <sz val="11"/>
        <rFont val="Arial"/>
        <family val="2"/>
        <charset val="204"/>
      </rPr>
      <t>МАРС</t>
    </r>
    <r>
      <rPr>
        <sz val="11"/>
        <rFont val="Arial"/>
        <family val="2"/>
        <charset val="204"/>
      </rPr>
      <t xml:space="preserve"> (3,0м) Турция, 265г/м2</t>
    </r>
  </si>
  <si>
    <r>
      <t xml:space="preserve">ТС </t>
    </r>
    <r>
      <rPr>
        <b/>
        <sz val="11"/>
        <rFont val="Arial"/>
        <family val="2"/>
        <charset val="204"/>
      </rPr>
      <t xml:space="preserve">КОМФОРТ </t>
    </r>
    <r>
      <rPr>
        <sz val="11"/>
        <rFont val="Arial"/>
        <family val="2"/>
        <charset val="204"/>
      </rPr>
      <t>(3,25м) Россия, 260г/м2</t>
    </r>
  </si>
  <si>
    <r>
      <t xml:space="preserve">Архитектурный текстиль </t>
    </r>
    <r>
      <rPr>
        <b/>
        <sz val="11"/>
        <rFont val="Arial"/>
        <family val="2"/>
        <charset val="204"/>
      </rPr>
      <t xml:space="preserve">Орбита </t>
    </r>
    <r>
      <rPr>
        <sz val="11"/>
        <rFont val="Arial"/>
        <family val="2"/>
        <charset val="204"/>
      </rPr>
      <t>(3,2м)</t>
    </r>
  </si>
  <si>
    <r>
      <t>Арапал ПРОЕКТ</t>
    </r>
    <r>
      <rPr>
        <b/>
        <sz val="11"/>
        <rFont val="Arial"/>
        <family val="2"/>
        <charset val="204"/>
      </rPr>
      <t xml:space="preserve"> Г1 </t>
    </r>
    <r>
      <rPr>
        <sz val="11"/>
        <rFont val="Arial"/>
        <family val="2"/>
        <charset val="204"/>
      </rPr>
      <t>(1,5м)  (Г1 В1 Д2 Т2)</t>
    </r>
  </si>
  <si>
    <r>
      <t>Орбита ПРОЕКТ</t>
    </r>
    <r>
      <rPr>
        <b/>
        <sz val="11"/>
        <rFont val="Arial"/>
        <family val="2"/>
        <charset val="204"/>
      </rPr>
      <t xml:space="preserve"> Г1 </t>
    </r>
    <r>
      <rPr>
        <sz val="11"/>
        <rFont val="Arial"/>
        <family val="2"/>
        <charset val="204"/>
      </rPr>
      <t>(3,2м) Россия</t>
    </r>
  </si>
  <si>
    <t>S07 светопрозрачная ткань (1,6м; 2,1м; 3,2м; 5,0м)</t>
  </si>
  <si>
    <t>Стоимость по запросу</t>
  </si>
  <si>
    <t>Общая стоимость материалов и работ (с НДС 5%)</t>
  </si>
  <si>
    <t>Закладная РОНДО под розетку/выключатель (пост1)</t>
  </si>
  <si>
    <t>Закладная РОНДО под розетку/выключатель (пост2)</t>
  </si>
  <si>
    <t>Закладная РОНДО под розетку/выключатель (пост3)</t>
  </si>
  <si>
    <t>Закладная РОНДО под розетку/выключатель (пост4)</t>
  </si>
  <si>
    <t>Закладная РОНДО под розетку/выключатель (пост5)</t>
  </si>
  <si>
    <t>Стоимость пределяется самостоятельно исполниетлем</t>
  </si>
  <si>
    <t>Планируется выпуск</t>
  </si>
  <si>
    <r>
      <t>ТС НЭКСТ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(3,2м) 285г/м2 (Г1 В2 Д3 Т2) (под заказ)</t>
    </r>
  </si>
  <si>
    <t>Монтаж профиля ТС Каскад + ТС Конструктор 5см/Откосный ТС</t>
  </si>
</sst>
</file>

<file path=xl/styles.xml><?xml version="1.0" encoding="utf-8"?>
<styleSheet xmlns="http://schemas.openxmlformats.org/spreadsheetml/2006/main">
  <numFmts count="3">
    <numFmt numFmtId="166" formatCode="#,##0\ &quot;₽&quot;"/>
    <numFmt numFmtId="168" formatCode="#,##0.00\ &quot;₽&quot;"/>
    <numFmt numFmtId="175" formatCode="#,##0\ _₽"/>
  </numFmts>
  <fonts count="26">
    <font>
      <sz val="11"/>
      <color theme="1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color theme="1"/>
      <name val="Times New Roman"/>
      <family val="1"/>
      <charset val="204"/>
    </font>
    <font>
      <b/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u/>
      <sz val="12"/>
      <color theme="1"/>
      <name val="Arial"/>
      <family val="2"/>
      <charset val="204"/>
    </font>
    <font>
      <sz val="11"/>
      <color theme="1" tint="0.34998626667073579"/>
      <name val="Arial"/>
      <family val="2"/>
      <charset val="204"/>
    </font>
    <font>
      <sz val="11"/>
      <color theme="1" tint="0.249977111117893"/>
      <name val="Arial"/>
      <family val="2"/>
      <charset val="204"/>
    </font>
    <font>
      <b/>
      <sz val="11"/>
      <color theme="1" tint="0.14999847407452621"/>
      <name val="Arial"/>
      <family val="2"/>
      <charset val="204"/>
    </font>
    <font>
      <sz val="11"/>
      <color theme="3"/>
      <name val="Arial"/>
      <family val="2"/>
      <charset val="204"/>
    </font>
    <font>
      <sz val="12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0" fillId="0" borderId="0">
      <alignment horizontal="left" vertical="top"/>
    </xf>
    <xf numFmtId="0" fontId="11" fillId="0" borderId="0">
      <alignment horizontal="right" vertical="top"/>
    </xf>
    <xf numFmtId="0" fontId="10" fillId="0" borderId="1">
      <alignment horizontal="center" vertical="top"/>
    </xf>
    <xf numFmtId="0" fontId="10" fillId="0" borderId="1">
      <alignment horizontal="left" vertical="top"/>
    </xf>
    <xf numFmtId="0" fontId="10" fillId="0" borderId="1">
      <alignment horizontal="right" vertical="top"/>
    </xf>
    <xf numFmtId="0" fontId="12" fillId="0" borderId="2">
      <alignment horizontal="left" vertical="top"/>
    </xf>
    <xf numFmtId="0" fontId="13" fillId="0" borderId="2">
      <alignment horizontal="right" vertical="top"/>
    </xf>
    <xf numFmtId="0" fontId="13" fillId="0" borderId="2">
      <alignment horizontal="left" vertical="top"/>
    </xf>
    <xf numFmtId="0" fontId="12" fillId="0" borderId="0">
      <alignment horizontal="right" vertical="center"/>
    </xf>
    <xf numFmtId="0" fontId="14" fillId="0" borderId="0">
      <alignment horizontal="left" vertical="center"/>
    </xf>
    <xf numFmtId="0" fontId="14" fillId="0" borderId="3">
      <alignment horizontal="left" vertical="center"/>
    </xf>
    <xf numFmtId="0" fontId="15" fillId="0" borderId="0">
      <alignment horizontal="center"/>
    </xf>
    <xf numFmtId="0" fontId="16" fillId="0" borderId="0">
      <alignment horizontal="center" vertical="top"/>
    </xf>
    <xf numFmtId="0" fontId="16" fillId="0" borderId="0">
      <alignment horizontal="left" vertical="center"/>
    </xf>
    <xf numFmtId="0" fontId="16" fillId="0" borderId="0">
      <alignment horizontal="right" vertical="center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10" fillId="0" borderId="1">
      <alignment horizontal="center" vertical="center"/>
    </xf>
    <xf numFmtId="0" fontId="14" fillId="0" borderId="0">
      <alignment horizontal="left" vertical="top"/>
    </xf>
    <xf numFmtId="0" fontId="18" fillId="0" borderId="0"/>
    <xf numFmtId="0" fontId="2" fillId="0" borderId="0"/>
  </cellStyleXfs>
  <cellXfs count="240">
    <xf numFmtId="0" fontId="0" fillId="0" borderId="0" xfId="0"/>
    <xf numFmtId="0" fontId="19" fillId="0" borderId="4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9" fillId="0" borderId="5" xfId="0" applyFont="1" applyBorder="1" applyAlignment="1">
      <alignment wrapText="1"/>
    </xf>
    <xf numFmtId="166" fontId="15" fillId="0" borderId="1" xfId="0" applyNumberFormat="1" applyFont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9" fontId="19" fillId="0" borderId="5" xfId="0" applyNumberFormat="1" applyFont="1" applyBorder="1" applyAlignment="1">
      <alignment horizontal="center" vertical="center" wrapText="1"/>
    </xf>
    <xf numFmtId="0" fontId="9" fillId="0" borderId="1" xfId="19" quotePrefix="1" applyFont="1" applyBorder="1" applyAlignment="1">
      <alignment horizontal="center" vertical="center" wrapText="1"/>
    </xf>
    <xf numFmtId="0" fontId="9" fillId="0" borderId="0" xfId="3" quotePrefix="1" applyFont="1" applyBorder="1" applyAlignment="1">
      <alignment horizontal="left" vertical="top" wrapText="1"/>
    </xf>
    <xf numFmtId="0" fontId="9" fillId="0" borderId="0" xfId="4" quotePrefix="1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166" fontId="9" fillId="0" borderId="0" xfId="4" applyNumberFormat="1" applyFont="1" applyBorder="1" applyAlignment="1">
      <alignment horizontal="center" vertical="center" wrapText="1"/>
    </xf>
    <xf numFmtId="166" fontId="9" fillId="0" borderId="0" xfId="20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 wrapText="1"/>
    </xf>
    <xf numFmtId="166" fontId="9" fillId="0" borderId="1" xfId="4" applyNumberFormat="1" applyFont="1" applyBorder="1" applyAlignment="1">
      <alignment horizontal="right" vertical="center" wrapText="1"/>
    </xf>
    <xf numFmtId="0" fontId="9" fillId="0" borderId="1" xfId="4" applyFont="1" applyFill="1" applyBorder="1" applyAlignment="1">
      <alignment horizontal="center" vertical="center" wrapText="1"/>
    </xf>
    <xf numFmtId="0" fontId="9" fillId="0" borderId="6" xfId="19" quotePrefix="1" applyFont="1" applyBorder="1" applyAlignment="1">
      <alignment horizontal="center" vertical="center" wrapText="1"/>
    </xf>
    <xf numFmtId="166" fontId="9" fillId="0" borderId="7" xfId="4" applyNumberFormat="1" applyFont="1" applyBorder="1" applyAlignment="1">
      <alignment horizontal="right" vertical="center" wrapText="1"/>
    </xf>
    <xf numFmtId="0" fontId="9" fillId="0" borderId="4" xfId="20" applyFont="1" applyBorder="1" applyAlignment="1">
      <alignment vertical="top"/>
    </xf>
    <xf numFmtId="0" fontId="9" fillId="0" borderId="8" xfId="19" quotePrefix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6" fontId="9" fillId="2" borderId="1" xfId="4" applyNumberFormat="1" applyFont="1" applyFill="1" applyBorder="1" applyAlignment="1">
      <alignment horizontal="center" vertical="center" wrapText="1"/>
    </xf>
    <xf numFmtId="166" fontId="9" fillId="0" borderId="1" xfId="4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9" fillId="0" borderId="4" xfId="3" quotePrefix="1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center" wrapText="1"/>
    </xf>
    <xf numFmtId="0" fontId="9" fillId="0" borderId="1" xfId="4" applyFont="1" applyFill="1" applyAlignment="1">
      <alignment horizontal="center" vertical="center" wrapText="1"/>
    </xf>
    <xf numFmtId="0" fontId="9" fillId="0" borderId="1" xfId="20" applyFont="1" applyBorder="1" applyAlignment="1">
      <alignment vertical="top"/>
    </xf>
    <xf numFmtId="0" fontId="9" fillId="0" borderId="1" xfId="4" quotePrefix="1" applyFont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1" xfId="4" applyFont="1" applyFill="1" applyBorder="1" applyAlignment="1">
      <alignment horizontal="center" vertical="center" wrapText="1"/>
    </xf>
    <xf numFmtId="166" fontId="3" fillId="0" borderId="1" xfId="20" applyNumberFormat="1" applyFont="1" applyFill="1" applyBorder="1" applyAlignment="1">
      <alignment horizontal="center" vertical="center"/>
    </xf>
    <xf numFmtId="166" fontId="3" fillId="0" borderId="1" xfId="4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wrapText="1"/>
    </xf>
    <xf numFmtId="166" fontId="19" fillId="0" borderId="0" xfId="0" applyNumberFormat="1" applyFont="1" applyAlignment="1">
      <alignment wrapText="1"/>
    </xf>
    <xf numFmtId="0" fontId="20" fillId="0" borderId="0" xfId="13" quotePrefix="1" applyFont="1" applyAlignment="1">
      <alignment horizontal="left" vertical="center" wrapText="1"/>
    </xf>
    <xf numFmtId="0" fontId="20" fillId="0" borderId="0" xfId="13" quotePrefix="1" applyFont="1" applyAlignment="1">
      <alignment vertical="center" wrapText="1"/>
    </xf>
    <xf numFmtId="0" fontId="19" fillId="0" borderId="0" xfId="0" applyFont="1" applyBorder="1" applyAlignment="1">
      <alignment wrapText="1"/>
    </xf>
    <xf numFmtId="0" fontId="19" fillId="0" borderId="3" xfId="14" quotePrefix="1" applyFont="1" applyBorder="1" applyAlignment="1">
      <alignment horizontal="left" vertical="center" wrapText="1"/>
    </xf>
    <xf numFmtId="0" fontId="19" fillId="0" borderId="3" xfId="0" applyFont="1" applyBorder="1" applyAlignment="1">
      <alignment wrapText="1"/>
    </xf>
    <xf numFmtId="0" fontId="19" fillId="0" borderId="1" xfId="18" quotePrefix="1" applyFont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center" vertical="center" wrapText="1"/>
    </xf>
    <xf numFmtId="166" fontId="19" fillId="2" borderId="1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wrapText="1"/>
    </xf>
    <xf numFmtId="0" fontId="19" fillId="0" borderId="0" xfId="20" applyFont="1" applyBorder="1" applyAlignment="1">
      <alignment wrapText="1"/>
    </xf>
    <xf numFmtId="0" fontId="19" fillId="0" borderId="0" xfId="4" quotePrefix="1" applyFont="1" applyBorder="1" applyAlignment="1">
      <alignment horizontal="center" vertical="center" wrapText="1"/>
    </xf>
    <xf numFmtId="0" fontId="19" fillId="0" borderId="0" xfId="4" applyFont="1" applyFill="1" applyBorder="1" applyAlignment="1">
      <alignment horizontal="center" vertical="center" wrapText="1"/>
    </xf>
    <xf numFmtId="166" fontId="19" fillId="0" borderId="0" xfId="20" applyNumberFormat="1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 wrapText="1"/>
    </xf>
    <xf numFmtId="0" fontId="19" fillId="0" borderId="0" xfId="19" quotePrefix="1" applyFont="1" applyBorder="1" applyAlignment="1">
      <alignment horizontal="center" vertical="center" wrapText="1"/>
    </xf>
    <xf numFmtId="166" fontId="19" fillId="0" borderId="0" xfId="4" applyNumberFormat="1" applyFont="1" applyBorder="1" applyAlignment="1">
      <alignment horizontal="right" vertical="center" wrapText="1"/>
    </xf>
    <xf numFmtId="0" fontId="19" fillId="0" borderId="0" xfId="0" applyFont="1" applyBorder="1" applyAlignment="1">
      <alignment horizontal="center" vertical="center" wrapText="1"/>
    </xf>
    <xf numFmtId="0" fontId="15" fillId="0" borderId="4" xfId="19" quotePrefix="1" applyFont="1" applyFill="1" applyBorder="1" applyAlignment="1">
      <alignment vertical="center" wrapText="1"/>
    </xf>
    <xf numFmtId="0" fontId="15" fillId="0" borderId="5" xfId="19" quotePrefix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166" fontId="19" fillId="0" borderId="0" xfId="0" applyNumberFormat="1" applyFont="1" applyFill="1" applyAlignment="1">
      <alignment wrapText="1"/>
    </xf>
    <xf numFmtId="0" fontId="15" fillId="0" borderId="0" xfId="6" quotePrefix="1" applyFont="1" applyBorder="1" applyAlignment="1">
      <alignment vertical="top" wrapText="1"/>
    </xf>
    <xf numFmtId="0" fontId="15" fillId="0" borderId="0" xfId="0" applyFont="1" applyBorder="1" applyAlignment="1">
      <alignment horizontal="left" wrapText="1"/>
    </xf>
    <xf numFmtId="166" fontId="19" fillId="2" borderId="0" xfId="0" applyNumberFormat="1" applyFont="1" applyFill="1" applyAlignment="1">
      <alignment wrapText="1"/>
    </xf>
    <xf numFmtId="0" fontId="19" fillId="0" borderId="1" xfId="0" applyFont="1" applyBorder="1" applyAlignment="1">
      <alignment wrapText="1"/>
    </xf>
    <xf numFmtId="166" fontId="15" fillId="2" borderId="1" xfId="0" applyNumberFormat="1" applyFont="1" applyFill="1" applyBorder="1" applyAlignment="1">
      <alignment wrapText="1"/>
    </xf>
    <xf numFmtId="166" fontId="19" fillId="0" borderId="1" xfId="0" applyNumberFormat="1" applyFont="1" applyBorder="1" applyAlignment="1">
      <alignment wrapText="1"/>
    </xf>
    <xf numFmtId="166" fontId="19" fillId="2" borderId="1" xfId="0" applyNumberFormat="1" applyFont="1" applyFill="1" applyBorder="1" applyAlignment="1">
      <alignment wrapText="1"/>
    </xf>
    <xf numFmtId="0" fontId="9" fillId="2" borderId="1" xfId="19" quotePrefix="1" applyFont="1" applyFill="1" applyBorder="1" applyAlignment="1">
      <alignment horizontal="center" vertical="center" wrapText="1"/>
    </xf>
    <xf numFmtId="0" fontId="9" fillId="0" borderId="1" xfId="20" applyFont="1" applyBorder="1" applyAlignment="1">
      <alignment vertical="top" wrapText="1"/>
    </xf>
    <xf numFmtId="0" fontId="15" fillId="3" borderId="4" xfId="0" applyFont="1" applyFill="1" applyBorder="1" applyAlignment="1">
      <alignment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wrapText="1"/>
    </xf>
    <xf numFmtId="166" fontId="15" fillId="3" borderId="1" xfId="0" applyNumberFormat="1" applyFont="1" applyFill="1" applyBorder="1" applyAlignment="1">
      <alignment wrapText="1"/>
    </xf>
    <xf numFmtId="0" fontId="19" fillId="3" borderId="4" xfId="0" applyFont="1" applyFill="1" applyBorder="1" applyAlignment="1">
      <alignment wrapText="1"/>
    </xf>
    <xf numFmtId="0" fontId="19" fillId="0" borderId="0" xfId="14" quotePrefix="1" applyFont="1" applyAlignment="1">
      <alignment vertical="center" wrapText="1"/>
    </xf>
    <xf numFmtId="0" fontId="17" fillId="4" borderId="4" xfId="18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0" fillId="4" borderId="1" xfId="0" applyFont="1" applyFill="1" applyBorder="1" applyAlignment="1">
      <alignment horizontal="center" vertical="center" wrapText="1"/>
    </xf>
    <xf numFmtId="166" fontId="0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166" fontId="0" fillId="0" borderId="1" xfId="0" applyNumberFormat="1" applyFont="1" applyFill="1" applyBorder="1" applyAlignment="1">
      <alignment horizontal="center" vertical="center" wrapText="1"/>
    </xf>
    <xf numFmtId="175" fontId="0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75" fontId="3" fillId="0" borderId="1" xfId="0" applyNumberFormat="1" applyFont="1" applyFill="1" applyBorder="1" applyAlignment="1">
      <alignment horizontal="center" vertical="center" wrapText="1"/>
    </xf>
    <xf numFmtId="0" fontId="9" fillId="4" borderId="1" xfId="19" quotePrefix="1" applyFont="1" applyFill="1" applyBorder="1" applyAlignment="1">
      <alignment horizontal="center" vertical="center" wrapText="1"/>
    </xf>
    <xf numFmtId="0" fontId="17" fillId="4" borderId="1" xfId="20" applyFont="1" applyFill="1" applyBorder="1" applyAlignment="1"/>
    <xf numFmtId="0" fontId="9" fillId="4" borderId="1" xfId="4" quotePrefix="1" applyFont="1" applyFill="1" applyBorder="1" applyAlignment="1">
      <alignment horizontal="center" vertical="center" wrapText="1"/>
    </xf>
    <xf numFmtId="0" fontId="9" fillId="4" borderId="1" xfId="4" applyFont="1" applyFill="1" applyBorder="1" applyAlignment="1">
      <alignment horizontal="center" vertical="center" wrapText="1"/>
    </xf>
    <xf numFmtId="166" fontId="9" fillId="4" borderId="1" xfId="20" applyNumberFormat="1" applyFont="1" applyFill="1" applyBorder="1" applyAlignment="1">
      <alignment horizontal="center" vertical="center"/>
    </xf>
    <xf numFmtId="166" fontId="9" fillId="4" borderId="1" xfId="4" applyNumberFormat="1" applyFont="1" applyFill="1" applyBorder="1" applyAlignment="1">
      <alignment horizontal="right" vertical="center" wrapText="1"/>
    </xf>
    <xf numFmtId="175" fontId="0" fillId="4" borderId="1" xfId="0" applyNumberFormat="1" applyFont="1" applyFill="1" applyBorder="1" applyAlignment="1">
      <alignment horizontal="center" vertical="center" wrapText="1"/>
    </xf>
    <xf numFmtId="0" fontId="17" fillId="4" borderId="1" xfId="20" applyFont="1" applyFill="1" applyBorder="1" applyAlignment="1">
      <alignment wrapText="1"/>
    </xf>
    <xf numFmtId="0" fontId="17" fillId="3" borderId="4" xfId="6" quotePrefix="1" applyFont="1" applyFill="1" applyBorder="1" applyAlignment="1">
      <alignment vertical="top" wrapText="1"/>
    </xf>
    <xf numFmtId="0" fontId="17" fillId="3" borderId="5" xfId="0" applyFont="1" applyFill="1" applyBorder="1" applyAlignment="1">
      <alignment horizontal="left" wrapText="1"/>
    </xf>
    <xf numFmtId="166" fontId="17" fillId="3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8" xfId="4" quotePrefix="1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166" fontId="9" fillId="4" borderId="1" xfId="4" applyNumberFormat="1" applyFont="1" applyFill="1" applyBorder="1" applyAlignment="1">
      <alignment horizontal="center" vertical="center" wrapText="1"/>
    </xf>
    <xf numFmtId="0" fontId="0" fillId="0" borderId="6" xfId="0" applyFont="1" applyBorder="1" applyAlignment="1">
      <alignment wrapText="1"/>
    </xf>
    <xf numFmtId="166" fontId="0" fillId="0" borderId="0" xfId="0" applyNumberFormat="1" applyFont="1" applyBorder="1" applyAlignment="1">
      <alignment wrapText="1"/>
    </xf>
    <xf numFmtId="166" fontId="0" fillId="2" borderId="7" xfId="0" applyNumberFormat="1" applyFont="1" applyFill="1" applyBorder="1" applyAlignment="1">
      <alignment wrapText="1"/>
    </xf>
    <xf numFmtId="0" fontId="14" fillId="4" borderId="1" xfId="18" quotePrefix="1" applyFont="1" applyFill="1" applyBorder="1" applyAlignment="1">
      <alignment horizontal="center" vertical="center" wrapText="1"/>
    </xf>
    <xf numFmtId="0" fontId="14" fillId="4" borderId="1" xfId="18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wrapText="1"/>
    </xf>
    <xf numFmtId="168" fontId="17" fillId="3" borderId="1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8" quotePrefix="1" applyFont="1" applyBorder="1" applyAlignment="1">
      <alignment horizontal="center" vertical="center" wrapText="1"/>
    </xf>
    <xf numFmtId="0" fontId="4" fillId="0" borderId="4" xfId="18" quotePrefix="1" applyFont="1" applyBorder="1" applyAlignment="1">
      <alignment horizontal="center" vertical="center" wrapText="1"/>
    </xf>
    <xf numFmtId="0" fontId="4" fillId="0" borderId="8" xfId="18" quotePrefix="1" applyFont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9" fillId="0" borderId="1" xfId="20" applyFont="1" applyBorder="1" applyAlignment="1">
      <alignment vertical="top"/>
    </xf>
    <xf numFmtId="0" fontId="9" fillId="0" borderId="1" xfId="4" quotePrefix="1" applyFont="1" applyBorder="1" applyAlignment="1">
      <alignment horizontal="center" vertical="center" wrapText="1"/>
    </xf>
    <xf numFmtId="0" fontId="9" fillId="0" borderId="1" xfId="4" quotePrefix="1" applyFont="1" applyBorder="1" applyAlignment="1">
      <alignment horizontal="center" vertical="center" wrapText="1"/>
    </xf>
    <xf numFmtId="0" fontId="9" fillId="0" borderId="1" xfId="20" applyFont="1" applyBorder="1" applyAlignment="1">
      <alignment vertical="top" wrapText="1"/>
    </xf>
    <xf numFmtId="0" fontId="9" fillId="0" borderId="1" xfId="20" applyFont="1" applyBorder="1" applyAlignment="1">
      <alignment vertical="top"/>
    </xf>
    <xf numFmtId="166" fontId="9" fillId="0" borderId="1" xfId="20" applyNumberFormat="1" applyFont="1" applyBorder="1" applyAlignment="1">
      <alignment horizontal="center" vertical="center"/>
    </xf>
    <xf numFmtId="0" fontId="9" fillId="0" borderId="0" xfId="20" applyFont="1" applyBorder="1" applyAlignment="1"/>
    <xf numFmtId="0" fontId="9" fillId="0" borderId="1" xfId="20" applyFont="1" applyBorder="1" applyAlignment="1">
      <alignment wrapText="1"/>
    </xf>
    <xf numFmtId="0" fontId="9" fillId="0" borderId="1" xfId="19" quotePrefix="1" applyFont="1" applyFill="1" applyBorder="1" applyAlignment="1">
      <alignment horizontal="center" vertical="center" wrapText="1"/>
    </xf>
    <xf numFmtId="0" fontId="9" fillId="0" borderId="1" xfId="4" quotePrefix="1" applyFont="1" applyFill="1" applyBorder="1" applyAlignment="1">
      <alignment horizontal="center" vertical="center" wrapText="1"/>
    </xf>
    <xf numFmtId="0" fontId="9" fillId="0" borderId="1" xfId="20" applyFont="1" applyBorder="1" applyAlignment="1">
      <alignment vertical="top"/>
    </xf>
    <xf numFmtId="0" fontId="9" fillId="0" borderId="1" xfId="20" applyFont="1" applyBorder="1" applyAlignment="1">
      <alignment vertical="top" wrapText="1"/>
    </xf>
    <xf numFmtId="0" fontId="9" fillId="0" borderId="1" xfId="20" applyFont="1" applyBorder="1" applyAlignment="1">
      <alignment vertical="top" wrapText="1"/>
    </xf>
    <xf numFmtId="0" fontId="9" fillId="0" borderId="4" xfId="3" quotePrefix="1" applyFont="1" applyBorder="1" applyAlignment="1">
      <alignment horizontal="left" vertical="top" wrapText="1"/>
    </xf>
    <xf numFmtId="0" fontId="9" fillId="0" borderId="1" xfId="4" quotePrefix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3" fillId="0" borderId="1" xfId="19" quotePrefix="1" applyFont="1" applyFill="1" applyBorder="1" applyAlignment="1">
      <alignment horizontal="center" vertical="center" wrapText="1"/>
    </xf>
    <xf numFmtId="0" fontId="3" fillId="0" borderId="1" xfId="20" applyFont="1" applyFill="1" applyBorder="1" applyAlignment="1">
      <alignment wrapText="1"/>
    </xf>
    <xf numFmtId="0" fontId="3" fillId="0" borderId="1" xfId="4" quotePrefix="1" applyFont="1" applyFill="1" applyBorder="1" applyAlignment="1">
      <alignment horizontal="center" vertical="center" wrapText="1"/>
    </xf>
    <xf numFmtId="0" fontId="9" fillId="0" borderId="1" xfId="20" applyFont="1" applyBorder="1" applyAlignment="1">
      <alignment wrapText="1"/>
    </xf>
    <xf numFmtId="0" fontId="15" fillId="0" borderId="3" xfId="0" applyFont="1" applyFill="1" applyBorder="1" applyAlignment="1">
      <alignment vertical="center" wrapText="1"/>
    </xf>
    <xf numFmtId="0" fontId="19" fillId="0" borderId="3" xfId="4" applyFont="1" applyFill="1" applyBorder="1" applyAlignment="1">
      <alignment horizontal="center" vertical="center" wrapText="1"/>
    </xf>
    <xf numFmtId="0" fontId="9" fillId="0" borderId="1" xfId="20" applyFont="1" applyBorder="1" applyAlignment="1">
      <alignment vertical="top" wrapText="1"/>
    </xf>
    <xf numFmtId="0" fontId="9" fillId="0" borderId="1" xfId="4" quotePrefix="1" applyFont="1" applyBorder="1" applyAlignment="1">
      <alignment horizontal="center" vertical="center" wrapText="1"/>
    </xf>
    <xf numFmtId="0" fontId="9" fillId="0" borderId="1" xfId="20" applyFont="1" applyBorder="1" applyAlignment="1">
      <alignment vertical="top" wrapText="1"/>
    </xf>
    <xf numFmtId="0" fontId="9" fillId="0" borderId="1" xfId="20" applyFont="1" applyBorder="1" applyAlignment="1">
      <alignment wrapText="1"/>
    </xf>
    <xf numFmtId="166" fontId="9" fillId="0" borderId="1" xfId="4" applyNumberFormat="1" applyFont="1" applyFill="1" applyBorder="1" applyAlignment="1">
      <alignment horizontal="right" vertical="center" wrapText="1"/>
    </xf>
    <xf numFmtId="166" fontId="9" fillId="0" borderId="1" xfId="4" applyNumberFormat="1" applyFont="1" applyFill="1" applyBorder="1" applyAlignment="1">
      <alignment horizontal="center" vertical="center" wrapText="1"/>
    </xf>
    <xf numFmtId="0" fontId="9" fillId="0" borderId="1" xfId="20" applyFont="1" applyBorder="1" applyAlignment="1">
      <alignment vertical="top" wrapText="1"/>
    </xf>
    <xf numFmtId="0" fontId="9" fillId="0" borderId="8" xfId="19" quotePrefix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20" applyFont="1" applyFill="1" applyBorder="1" applyAlignment="1">
      <alignment vertical="top" wrapText="1"/>
    </xf>
    <xf numFmtId="0" fontId="19" fillId="0" borderId="1" xfId="4" applyFont="1" applyFill="1" applyAlignment="1">
      <alignment horizontal="center" vertical="center" wrapText="1"/>
    </xf>
    <xf numFmtId="0" fontId="9" fillId="0" borderId="1" xfId="4" quotePrefix="1" applyFont="1" applyFill="1" applyBorder="1" applyAlignment="1">
      <alignment horizontal="center" vertical="center" wrapText="1"/>
    </xf>
    <xf numFmtId="0" fontId="9" fillId="0" borderId="1" xfId="4" quotePrefix="1" applyFont="1" applyBorder="1" applyAlignment="1">
      <alignment horizontal="center" vertical="center" wrapText="1"/>
    </xf>
    <xf numFmtId="0" fontId="21" fillId="5" borderId="1" xfId="19" quotePrefix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wrapText="1"/>
    </xf>
    <xf numFmtId="0" fontId="9" fillId="0" borderId="1" xfId="20" applyFont="1" applyFill="1" applyBorder="1" applyAlignment="1">
      <alignment vertical="top" wrapText="1"/>
    </xf>
    <xf numFmtId="0" fontId="9" fillId="0" borderId="1" xfId="20" applyFont="1" applyFill="1" applyBorder="1" applyAlignment="1">
      <alignment vertical="top"/>
    </xf>
    <xf numFmtId="0" fontId="9" fillId="0" borderId="1" xfId="20" applyFont="1" applyBorder="1" applyAlignment="1">
      <alignment vertical="top"/>
    </xf>
    <xf numFmtId="166" fontId="9" fillId="6" borderId="1" xfId="20" applyNumberFormat="1" applyFont="1" applyFill="1" applyBorder="1" applyAlignment="1">
      <alignment horizontal="center" vertical="center"/>
    </xf>
    <xf numFmtId="0" fontId="19" fillId="6" borderId="0" xfId="0" applyFont="1" applyFill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wrapText="1"/>
    </xf>
    <xf numFmtId="49" fontId="19" fillId="6" borderId="0" xfId="0" applyNumberFormat="1" applyFont="1" applyFill="1" applyAlignment="1"/>
    <xf numFmtId="175" fontId="0" fillId="6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9" fillId="8" borderId="1" xfId="19" quotePrefix="1" applyFont="1" applyFill="1" applyBorder="1" applyAlignment="1">
      <alignment horizontal="center" vertical="center" wrapText="1"/>
    </xf>
    <xf numFmtId="0" fontId="9" fillId="8" borderId="1" xfId="4" quotePrefix="1" applyFont="1" applyFill="1" applyBorder="1" applyAlignment="1">
      <alignment horizontal="center" vertical="center" wrapText="1"/>
    </xf>
    <xf numFmtId="0" fontId="9" fillId="8" borderId="1" xfId="4" applyFont="1" applyFill="1" applyBorder="1" applyAlignment="1">
      <alignment horizontal="center" vertical="center" wrapText="1"/>
    </xf>
    <xf numFmtId="166" fontId="9" fillId="8" borderId="1" xfId="4" applyNumberFormat="1" applyFont="1" applyFill="1" applyBorder="1" applyAlignment="1">
      <alignment horizontal="right" vertical="center" wrapText="1"/>
    </xf>
    <xf numFmtId="0" fontId="19" fillId="8" borderId="0" xfId="13" quotePrefix="1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wrapText="1"/>
    </xf>
    <xf numFmtId="0" fontId="19" fillId="3" borderId="0" xfId="0" applyFont="1" applyFill="1" applyBorder="1" applyAlignment="1">
      <alignment horizontal="center" wrapText="1"/>
    </xf>
    <xf numFmtId="0" fontId="9" fillId="5" borderId="1" xfId="19" quotePrefix="1" applyFont="1" applyFill="1" applyBorder="1" applyAlignment="1">
      <alignment horizontal="center" vertical="center" wrapText="1"/>
    </xf>
    <xf numFmtId="166" fontId="3" fillId="6" borderId="1" xfId="2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 wrapText="1"/>
    </xf>
    <xf numFmtId="0" fontId="3" fillId="8" borderId="1" xfId="20" applyFont="1" applyFill="1" applyBorder="1" applyAlignment="1">
      <alignment wrapText="1"/>
    </xf>
    <xf numFmtId="0" fontId="3" fillId="8" borderId="1" xfId="4" quotePrefix="1" applyFont="1" applyFill="1" applyBorder="1" applyAlignment="1">
      <alignment horizontal="center" vertical="center" wrapText="1"/>
    </xf>
    <xf numFmtId="0" fontId="3" fillId="8" borderId="1" xfId="4" applyFont="1" applyFill="1" applyBorder="1" applyAlignment="1">
      <alignment horizontal="center" vertical="center" wrapText="1"/>
    </xf>
    <xf numFmtId="166" fontId="3" fillId="8" borderId="1" xfId="20" applyNumberFormat="1" applyFont="1" applyFill="1" applyBorder="1" applyAlignment="1">
      <alignment horizontal="center" vertical="center"/>
    </xf>
    <xf numFmtId="166" fontId="3" fillId="8" borderId="1" xfId="4" applyNumberFormat="1" applyFont="1" applyFill="1" applyBorder="1" applyAlignment="1">
      <alignment horizontal="right" vertical="center" wrapText="1"/>
    </xf>
    <xf numFmtId="0" fontId="3" fillId="0" borderId="1" xfId="20" applyFont="1" applyBorder="1" applyAlignment="1">
      <alignment wrapText="1"/>
    </xf>
    <xf numFmtId="0" fontId="3" fillId="0" borderId="1" xfId="4" quotePrefix="1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 wrapText="1"/>
    </xf>
    <xf numFmtId="166" fontId="3" fillId="0" borderId="1" xfId="20" applyNumberFormat="1" applyFont="1" applyBorder="1" applyAlignment="1">
      <alignment horizontal="center" vertical="center"/>
    </xf>
    <xf numFmtId="166" fontId="3" fillId="2" borderId="1" xfId="4" applyNumberFormat="1" applyFont="1" applyFill="1" applyBorder="1" applyAlignment="1">
      <alignment horizontal="right" vertical="center" wrapText="1"/>
    </xf>
    <xf numFmtId="0" fontId="3" fillId="2" borderId="1" xfId="20" applyFont="1" applyFill="1" applyBorder="1" applyAlignment="1">
      <alignment wrapText="1"/>
    </xf>
    <xf numFmtId="0" fontId="3" fillId="2" borderId="1" xfId="4" quotePrefix="1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166" fontId="3" fillId="2" borderId="1" xfId="20" applyNumberFormat="1" applyFont="1" applyFill="1" applyBorder="1" applyAlignment="1">
      <alignment horizontal="center" vertical="center"/>
    </xf>
    <xf numFmtId="0" fontId="8" fillId="0" borderId="0" xfId="0" applyFont="1"/>
    <xf numFmtId="0" fontId="3" fillId="5" borderId="1" xfId="20" applyFont="1" applyFill="1" applyBorder="1" applyAlignment="1">
      <alignment wrapText="1"/>
    </xf>
    <xf numFmtId="0" fontId="3" fillId="5" borderId="1" xfId="4" quotePrefix="1" applyFont="1" applyFill="1" applyBorder="1" applyAlignment="1">
      <alignment horizontal="center" vertical="center" wrapText="1"/>
    </xf>
    <xf numFmtId="0" fontId="3" fillId="5" borderId="1" xfId="4" applyFont="1" applyFill="1" applyBorder="1" applyAlignment="1">
      <alignment horizontal="center" vertical="center" wrapText="1"/>
    </xf>
    <xf numFmtId="166" fontId="3" fillId="5" borderId="1" xfId="20" applyNumberFormat="1" applyFont="1" applyFill="1" applyBorder="1" applyAlignment="1">
      <alignment horizontal="center" vertical="center"/>
    </xf>
    <xf numFmtId="166" fontId="3" fillId="5" borderId="1" xfId="4" applyNumberFormat="1" applyFont="1" applyFill="1" applyBorder="1" applyAlignment="1">
      <alignment horizontal="right" vertical="center" wrapText="1"/>
    </xf>
    <xf numFmtId="0" fontId="8" fillId="5" borderId="1" xfId="2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20" applyFont="1" applyBorder="1" applyAlignment="1">
      <alignment wrapText="1"/>
    </xf>
    <xf numFmtId="175" fontId="3" fillId="5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9" fillId="8" borderId="1" xfId="20" applyFont="1" applyFill="1" applyBorder="1" applyAlignment="1">
      <alignment vertical="top" wrapText="1"/>
    </xf>
    <xf numFmtId="166" fontId="9" fillId="8" borderId="1" xfId="4" applyNumberFormat="1" applyFont="1" applyFill="1" applyBorder="1" applyAlignment="1">
      <alignment horizontal="center" vertical="center" wrapText="1"/>
    </xf>
    <xf numFmtId="166" fontId="3" fillId="9" borderId="1" xfId="20" applyNumberFormat="1" applyFont="1" applyFill="1" applyBorder="1" applyAlignment="1">
      <alignment horizontal="center" vertical="center"/>
    </xf>
    <xf numFmtId="175" fontId="3" fillId="9" borderId="1" xfId="0" applyNumberFormat="1" applyFont="1" applyFill="1" applyBorder="1" applyAlignment="1">
      <alignment horizontal="center" vertical="center" wrapText="1"/>
    </xf>
    <xf numFmtId="0" fontId="9" fillId="10" borderId="1" xfId="19" quotePrefix="1" applyFont="1" applyFill="1" applyBorder="1" applyAlignment="1">
      <alignment horizontal="center" vertical="center" wrapText="1"/>
    </xf>
    <xf numFmtId="0" fontId="22" fillId="11" borderId="8" xfId="19" quotePrefix="1" applyFont="1" applyFill="1" applyBorder="1" applyAlignment="1">
      <alignment horizontal="center" vertical="center" wrapText="1"/>
    </xf>
    <xf numFmtId="0" fontId="23" fillId="11" borderId="1" xfId="20" applyFont="1" applyFill="1" applyBorder="1" applyAlignment="1">
      <alignment horizontal="center" vertical="center" wrapText="1"/>
    </xf>
    <xf numFmtId="0" fontId="22" fillId="11" borderId="1" xfId="4" quotePrefix="1" applyFont="1" applyFill="1" applyBorder="1" applyAlignment="1">
      <alignment horizontal="center" vertical="center" wrapText="1"/>
    </xf>
    <xf numFmtId="0" fontId="22" fillId="11" borderId="1" xfId="4" applyFont="1" applyFill="1" applyBorder="1" applyAlignment="1">
      <alignment horizontal="center" vertical="center" wrapText="1"/>
    </xf>
    <xf numFmtId="166" fontId="22" fillId="11" borderId="1" xfId="4" applyNumberFormat="1" applyFont="1" applyFill="1" applyBorder="1" applyAlignment="1">
      <alignment horizontal="center" vertical="center" wrapText="1"/>
    </xf>
    <xf numFmtId="166" fontId="22" fillId="11" borderId="1" xfId="4" applyNumberFormat="1" applyFont="1" applyFill="1" applyBorder="1" applyAlignment="1">
      <alignment horizontal="right" vertical="center" wrapText="1"/>
    </xf>
    <xf numFmtId="0" fontId="0" fillId="11" borderId="1" xfId="0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66" fontId="0" fillId="10" borderId="1" xfId="0" applyNumberFormat="1" applyFont="1" applyFill="1" applyBorder="1" applyAlignment="1">
      <alignment horizontal="center" vertical="center" wrapText="1"/>
    </xf>
    <xf numFmtId="0" fontId="17" fillId="10" borderId="1" xfId="20" applyFont="1" applyFill="1" applyBorder="1" applyAlignment="1">
      <alignment horizontal="center" vertical="top" wrapText="1"/>
    </xf>
    <xf numFmtId="0" fontId="9" fillId="10" borderId="1" xfId="4" quotePrefix="1" applyFont="1" applyFill="1" applyBorder="1" applyAlignment="1">
      <alignment horizontal="center" vertical="center" wrapText="1"/>
    </xf>
    <xf numFmtId="0" fontId="9" fillId="10" borderId="1" xfId="4" applyFont="1" applyFill="1" applyBorder="1" applyAlignment="1">
      <alignment horizontal="center" vertical="center" wrapText="1"/>
    </xf>
    <xf numFmtId="166" fontId="9" fillId="10" borderId="1" xfId="4" applyNumberFormat="1" applyFont="1" applyFill="1" applyBorder="1" applyAlignment="1">
      <alignment horizontal="center" vertical="center" wrapText="1"/>
    </xf>
    <xf numFmtId="166" fontId="9" fillId="10" borderId="1" xfId="4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wrapText="1"/>
    </xf>
    <xf numFmtId="14" fontId="24" fillId="0" borderId="0" xfId="0" applyNumberFormat="1" applyFont="1" applyFill="1" applyAlignment="1">
      <alignment horizontal="center" vertical="center" wrapText="1"/>
    </xf>
    <xf numFmtId="0" fontId="19" fillId="5" borderId="0" xfId="0" applyFont="1" applyFill="1" applyAlignment="1">
      <alignment wrapText="1"/>
    </xf>
    <xf numFmtId="49" fontId="19" fillId="5" borderId="0" xfId="0" applyNumberFormat="1" applyFont="1" applyFill="1" applyAlignment="1"/>
    <xf numFmtId="0" fontId="19" fillId="9" borderId="0" xfId="0" applyFont="1" applyFill="1" applyAlignment="1">
      <alignment wrapText="1"/>
    </xf>
    <xf numFmtId="49" fontId="19" fillId="9" borderId="0" xfId="0" applyNumberFormat="1" applyFont="1" applyFill="1" applyAlignment="1"/>
    <xf numFmtId="0" fontId="9" fillId="0" borderId="1" xfId="2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19" fillId="0" borderId="0" xfId="14" quotePrefix="1" applyFont="1" applyAlignment="1">
      <alignment horizontal="left" vertical="center" wrapText="1"/>
    </xf>
    <xf numFmtId="0" fontId="19" fillId="0" borderId="0" xfId="0" applyFont="1" applyAlignment="1">
      <alignment wrapText="1"/>
    </xf>
    <xf numFmtId="166" fontId="19" fillId="8" borderId="0" xfId="15" applyNumberFormat="1" applyFont="1" applyFill="1" applyAlignment="1">
      <alignment horizontal="center" vertical="center" wrapText="1"/>
    </xf>
    <xf numFmtId="0" fontId="9" fillId="0" borderId="0" xfId="14" quotePrefix="1" applyFont="1" applyBorder="1" applyAlignment="1">
      <alignment horizontal="left" vertical="center" wrapText="1"/>
    </xf>
    <xf numFmtId="0" fontId="25" fillId="0" borderId="0" xfId="1" quotePrefix="1" applyFont="1" applyAlignment="1">
      <alignment horizontal="center" vertical="center" wrapText="1"/>
    </xf>
    <xf numFmtId="0" fontId="15" fillId="0" borderId="0" xfId="12" quotePrefix="1" applyFont="1" applyAlignment="1">
      <alignment horizontal="center" vertical="center" wrapText="1"/>
    </xf>
    <xf numFmtId="166" fontId="19" fillId="3" borderId="0" xfId="0" applyNumberFormat="1" applyFont="1" applyFill="1" applyBorder="1" applyAlignment="1">
      <alignment horizontal="center" wrapText="1"/>
    </xf>
    <xf numFmtId="0" fontId="5" fillId="0" borderId="1" xfId="19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9" fillId="0" borderId="0" xfId="0" applyFont="1" applyAlignment="1">
      <alignment horizontal="center" vertical="top" wrapText="1"/>
    </xf>
    <xf numFmtId="0" fontId="19" fillId="8" borderId="0" xfId="13" quotePrefix="1" applyFont="1" applyFill="1" applyAlignment="1">
      <alignment horizontal="center" vertical="center" wrapText="1"/>
    </xf>
  </cellXfs>
  <cellStyles count="22">
    <cellStyle name="S0" xfId="1"/>
    <cellStyle name="S1" xfId="2"/>
    <cellStyle name="S10" xfId="3"/>
    <cellStyle name="S11" xfId="4"/>
    <cellStyle name="S12" xfId="5"/>
    <cellStyle name="S13" xfId="6"/>
    <cellStyle name="S14" xfId="7"/>
    <cellStyle name="S15" xfId="8"/>
    <cellStyle name="S16" xfId="9"/>
    <cellStyle name="S17" xfId="10"/>
    <cellStyle name="S18" xfId="11"/>
    <cellStyle name="S2" xfId="12"/>
    <cellStyle name="S3" xfId="13"/>
    <cellStyle name="S4" xfId="14"/>
    <cellStyle name="S5" xfId="15"/>
    <cellStyle name="S6" xfId="16"/>
    <cellStyle name="S7" xfId="17"/>
    <cellStyle name="S8" xfId="18"/>
    <cellStyle name="S9" xfId="19"/>
    <cellStyle name="Обычный" xfId="0" builtinId="0"/>
    <cellStyle name="Обычный 2" xfId="20"/>
    <cellStyle name="Обычный 3" xfId="21"/>
  </cellStyles>
  <dxfs count="5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1</xdr:col>
      <xdr:colOff>590550</xdr:colOff>
      <xdr:row>1</xdr:row>
      <xdr:rowOff>1743075</xdr:rowOff>
    </xdr:to>
    <xdr:pic>
      <xdr:nvPicPr>
        <xdr:cNvPr id="1899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266700"/>
          <a:ext cx="1428750" cy="166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257175</xdr:colOff>
      <xdr:row>1</xdr:row>
      <xdr:rowOff>180975</xdr:rowOff>
    </xdr:from>
    <xdr:to>
      <xdr:col>5</xdr:col>
      <xdr:colOff>723900</xdr:colOff>
      <xdr:row>1</xdr:row>
      <xdr:rowOff>1609725</xdr:rowOff>
    </xdr:to>
    <xdr:pic>
      <xdr:nvPicPr>
        <xdr:cNvPr id="1900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48525" y="371475"/>
          <a:ext cx="1447800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Таблица1" displayName="Таблица1" ref="D13:D116" totalsRowShown="0" headerRowDxfId="3" dataDxfId="2" headerRowBorderDxfId="0" tableBorderDxfId="1" headerRowCellStyle="S8" dataCellStyle="S11">
  <autoFilter ref="D13:D116"/>
  <tableColumns count="1">
    <tableColumn id="1" name="Кол-во" dataDxfId="4" dataCellStyle="S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35"/>
  <sheetViews>
    <sheetView tabSelected="1" zoomScale="90" zoomScaleNormal="90" zoomScaleSheetLayoutView="80" workbookViewId="0">
      <selection activeCell="E117" sqref="E117"/>
    </sheetView>
  </sheetViews>
  <sheetFormatPr defaultColWidth="11" defaultRowHeight="15"/>
  <cols>
    <col min="1" max="1" width="11.875" style="33" customWidth="1"/>
    <col min="2" max="2" width="61.875" style="33" customWidth="1"/>
    <col min="3" max="3" width="9.125" style="33" customWidth="1"/>
    <col min="4" max="4" width="8.875" style="33" customWidth="1"/>
    <col min="5" max="5" width="12.875" style="33" customWidth="1"/>
    <col min="6" max="6" width="14.375" style="33" customWidth="1"/>
    <col min="7" max="7" width="19.375" style="43" customWidth="1"/>
    <col min="8" max="8" width="15" style="33" customWidth="1"/>
    <col min="9" max="10" width="15" style="34" customWidth="1"/>
    <col min="11" max="16384" width="11" style="33"/>
  </cols>
  <sheetData>
    <row r="2" spans="1:10" ht="138.75" customHeight="1">
      <c r="A2" s="231" t="s">
        <v>90</v>
      </c>
      <c r="B2" s="231"/>
      <c r="C2" s="231"/>
      <c r="D2" s="231"/>
      <c r="E2" s="238"/>
      <c r="F2" s="238"/>
    </row>
    <row r="3" spans="1:10" ht="30" customHeight="1">
      <c r="B3" s="232" t="s">
        <v>31</v>
      </c>
      <c r="C3" s="232"/>
      <c r="D3" s="232"/>
      <c r="E3" s="23"/>
      <c r="F3" s="23"/>
    </row>
    <row r="4" spans="1:10" ht="14.25" customHeight="1">
      <c r="A4" s="35" t="s">
        <v>5</v>
      </c>
      <c r="B4" s="36"/>
      <c r="C4" s="36"/>
      <c r="D4" s="36"/>
      <c r="E4" s="36"/>
      <c r="F4" s="36"/>
    </row>
    <row r="5" spans="1:10" ht="14.25" customHeight="1">
      <c r="A5" s="35" t="s">
        <v>16</v>
      </c>
      <c r="B5" s="36"/>
      <c r="C5" s="36"/>
      <c r="D5" s="36"/>
      <c r="E5" s="36"/>
      <c r="F5" s="36"/>
    </row>
    <row r="6" spans="1:10" ht="14.25" customHeight="1">
      <c r="A6" s="35" t="s">
        <v>6</v>
      </c>
      <c r="B6" s="36"/>
      <c r="C6" s="36"/>
      <c r="D6" s="36"/>
      <c r="E6" s="36"/>
      <c r="F6" s="36"/>
    </row>
    <row r="7" spans="1:10" ht="14.25" customHeight="1">
      <c r="A7" s="35" t="s">
        <v>56</v>
      </c>
      <c r="B7" s="35"/>
      <c r="C7" s="239">
        <v>1</v>
      </c>
      <c r="D7" s="239"/>
      <c r="E7" s="165" t="s">
        <v>1</v>
      </c>
      <c r="F7" s="35"/>
    </row>
    <row r="8" spans="1:10" ht="14.25" customHeight="1">
      <c r="A8" s="71" t="s">
        <v>43</v>
      </c>
      <c r="B8" s="71" t="s">
        <v>44</v>
      </c>
      <c r="G8" s="56"/>
      <c r="H8" s="34"/>
    </row>
    <row r="9" spans="1:10">
      <c r="A9" s="227" t="s">
        <v>28</v>
      </c>
      <c r="B9" s="228"/>
      <c r="C9" s="229">
        <f>F124</f>
        <v>0</v>
      </c>
      <c r="D9" s="229"/>
      <c r="E9" s="166" t="s">
        <v>4</v>
      </c>
    </row>
    <row r="10" spans="1:10">
      <c r="A10" s="230" t="s">
        <v>117</v>
      </c>
      <c r="B10" s="230"/>
      <c r="C10" s="233">
        <f>C9/C7</f>
        <v>0</v>
      </c>
      <c r="D10" s="233"/>
      <c r="E10" s="167" t="s">
        <v>27</v>
      </c>
      <c r="F10" s="37"/>
    </row>
    <row r="11" spans="1:10">
      <c r="A11" s="38"/>
      <c r="B11" s="39"/>
      <c r="C11" s="39"/>
      <c r="D11" s="39"/>
      <c r="E11" s="39"/>
      <c r="F11" s="39"/>
    </row>
    <row r="12" spans="1:10" ht="15.75">
      <c r="A12" s="234" t="s">
        <v>10</v>
      </c>
      <c r="B12" s="235"/>
      <c r="C12" s="235"/>
      <c r="D12" s="235"/>
      <c r="E12" s="235"/>
      <c r="F12" s="235"/>
      <c r="G12" s="216"/>
      <c r="H12" s="223" t="s">
        <v>39</v>
      </c>
      <c r="I12" s="223"/>
      <c r="J12" s="223"/>
    </row>
    <row r="13" spans="1:10" ht="30">
      <c r="A13" s="106" t="s">
        <v>7</v>
      </c>
      <c r="B13" s="107" t="s">
        <v>13</v>
      </c>
      <c r="C13" s="106" t="s">
        <v>41</v>
      </c>
      <c r="D13" s="108" t="s">
        <v>8</v>
      </c>
      <c r="E13" s="106" t="s">
        <v>15</v>
      </c>
      <c r="F13" s="106" t="s">
        <v>9</v>
      </c>
      <c r="G13" s="216"/>
      <c r="H13" s="105" t="s">
        <v>17</v>
      </c>
      <c r="I13" s="105" t="s">
        <v>42</v>
      </c>
      <c r="J13" s="109" t="s">
        <v>19</v>
      </c>
    </row>
    <row r="14" spans="1:10" s="73" customFormat="1" ht="15" customHeight="1">
      <c r="A14" s="100">
        <v>1</v>
      </c>
      <c r="B14" s="72" t="s">
        <v>20</v>
      </c>
      <c r="C14" s="101">
        <v>3</v>
      </c>
      <c r="D14" s="101">
        <v>4</v>
      </c>
      <c r="E14" s="101">
        <v>5</v>
      </c>
      <c r="F14" s="101">
        <v>6</v>
      </c>
      <c r="G14" s="76"/>
      <c r="H14" s="74"/>
      <c r="I14" s="75"/>
      <c r="J14" s="75"/>
    </row>
    <row r="15" spans="1:10" s="76" customFormat="1">
      <c r="A15" s="161">
        <f>IFERROR(IF(SUBTOTAL(3,D15),#REF!+1,#REF!),1)</f>
        <v>1</v>
      </c>
      <c r="B15" s="171" t="s">
        <v>121</v>
      </c>
      <c r="C15" s="172" t="s">
        <v>1</v>
      </c>
      <c r="D15" s="173">
        <v>0</v>
      </c>
      <c r="E15" s="174">
        <v>1750</v>
      </c>
      <c r="F15" s="175">
        <f t="shared" ref="F15:F52" si="0">D15*E15</f>
        <v>0</v>
      </c>
      <c r="H15" s="81">
        <v>1100</v>
      </c>
      <c r="I15" s="170">
        <f t="shared" ref="I15:I52" si="1">D15*H15</f>
        <v>0</v>
      </c>
      <c r="J15" s="170">
        <f>F15-I15</f>
        <v>0</v>
      </c>
    </row>
    <row r="16" spans="1:10" s="76" customFormat="1">
      <c r="A16" s="161">
        <v>1</v>
      </c>
      <c r="B16" s="171" t="s">
        <v>119</v>
      </c>
      <c r="C16" s="172" t="s">
        <v>1</v>
      </c>
      <c r="D16" s="173">
        <v>0</v>
      </c>
      <c r="E16" s="174">
        <v>1900</v>
      </c>
      <c r="F16" s="175">
        <f t="shared" si="0"/>
        <v>0</v>
      </c>
      <c r="H16" s="81">
        <v>1250</v>
      </c>
      <c r="I16" s="170">
        <f t="shared" si="1"/>
        <v>0</v>
      </c>
      <c r="J16" s="170">
        <f t="shared" ref="J16:J52" si="2">F16-I16</f>
        <v>0</v>
      </c>
    </row>
    <row r="17" spans="1:10" s="76" customFormat="1">
      <c r="A17" s="161">
        <v>1</v>
      </c>
      <c r="B17" s="171" t="s">
        <v>120</v>
      </c>
      <c r="C17" s="172" t="s">
        <v>1</v>
      </c>
      <c r="D17" s="173">
        <v>0</v>
      </c>
      <c r="E17" s="174">
        <v>1900</v>
      </c>
      <c r="F17" s="175">
        <f>D17*E17</f>
        <v>0</v>
      </c>
      <c r="H17" s="81">
        <v>1250</v>
      </c>
      <c r="I17" s="170">
        <f>D17*H17</f>
        <v>0</v>
      </c>
      <c r="J17" s="170">
        <f>F17-I17</f>
        <v>0</v>
      </c>
    </row>
    <row r="18" spans="1:10" s="76" customFormat="1">
      <c r="A18" s="161">
        <v>1</v>
      </c>
      <c r="B18" s="171" t="s">
        <v>99</v>
      </c>
      <c r="C18" s="172" t="s">
        <v>1</v>
      </c>
      <c r="D18" s="173">
        <v>0</v>
      </c>
      <c r="E18" s="174">
        <v>2100</v>
      </c>
      <c r="F18" s="175">
        <f t="shared" si="0"/>
        <v>0</v>
      </c>
      <c r="H18" s="81">
        <v>1450</v>
      </c>
      <c r="I18" s="170">
        <f t="shared" si="1"/>
        <v>0</v>
      </c>
      <c r="J18" s="170">
        <f t="shared" si="2"/>
        <v>0</v>
      </c>
    </row>
    <row r="19" spans="1:10" s="76" customFormat="1">
      <c r="A19" s="161">
        <v>1</v>
      </c>
      <c r="B19" s="171" t="s">
        <v>100</v>
      </c>
      <c r="C19" s="172" t="s">
        <v>1</v>
      </c>
      <c r="D19" s="173">
        <v>0</v>
      </c>
      <c r="E19" s="174">
        <v>2100</v>
      </c>
      <c r="F19" s="175">
        <f t="shared" si="0"/>
        <v>0</v>
      </c>
      <c r="H19" s="81">
        <v>1450</v>
      </c>
      <c r="I19" s="170">
        <f t="shared" si="1"/>
        <v>0</v>
      </c>
      <c r="J19" s="170">
        <f t="shared" si="2"/>
        <v>0</v>
      </c>
    </row>
    <row r="20" spans="1:10" s="76" customFormat="1">
      <c r="A20" s="168">
        <v>1</v>
      </c>
      <c r="B20" s="186" t="s">
        <v>122</v>
      </c>
      <c r="C20" s="187" t="s">
        <v>1</v>
      </c>
      <c r="D20" s="188">
        <v>0</v>
      </c>
      <c r="E20" s="189">
        <v>0</v>
      </c>
      <c r="F20" s="190">
        <f>D20*E20</f>
        <v>0</v>
      </c>
      <c r="G20" s="217">
        <v>46082</v>
      </c>
      <c r="H20" s="194">
        <v>0</v>
      </c>
      <c r="I20" s="195">
        <f>D20*H20</f>
        <v>0</v>
      </c>
      <c r="J20" s="195">
        <f>F20-I20</f>
        <v>0</v>
      </c>
    </row>
    <row r="21" spans="1:10" s="76" customFormat="1">
      <c r="A21" s="118">
        <f>IFERROR(IF(SUBTOTAL(3,D21),#REF!+1,#REF!),1)</f>
        <v>1</v>
      </c>
      <c r="B21" s="127" t="s">
        <v>98</v>
      </c>
      <c r="C21" s="128" t="s">
        <v>1</v>
      </c>
      <c r="D21" s="30">
        <v>0</v>
      </c>
      <c r="E21" s="198">
        <v>0</v>
      </c>
      <c r="F21" s="32">
        <f>D21*E21</f>
        <v>0</v>
      </c>
      <c r="H21" s="199">
        <v>0</v>
      </c>
      <c r="I21" s="170">
        <f>D21*H21</f>
        <v>0</v>
      </c>
      <c r="J21" s="170">
        <f>F21-I21</f>
        <v>0</v>
      </c>
    </row>
    <row r="22" spans="1:10" s="76" customFormat="1">
      <c r="A22" s="168">
        <f>IFERROR(IF(SUBTOTAL(3,D22),#REF!+1,#REF!),1)</f>
        <v>1</v>
      </c>
      <c r="B22" s="186" t="s">
        <v>123</v>
      </c>
      <c r="C22" s="187" t="s">
        <v>1</v>
      </c>
      <c r="D22" s="188">
        <v>0</v>
      </c>
      <c r="E22" s="198">
        <v>0</v>
      </c>
      <c r="F22" s="190">
        <f>D22*E22</f>
        <v>0</v>
      </c>
      <c r="G22" s="217">
        <v>46082</v>
      </c>
      <c r="H22" s="199">
        <v>0</v>
      </c>
      <c r="I22" s="195">
        <f>D22*H22</f>
        <v>0</v>
      </c>
      <c r="J22" s="195">
        <f>F22-I22</f>
        <v>0</v>
      </c>
    </row>
    <row r="23" spans="1:10" s="76" customFormat="1">
      <c r="A23" s="168">
        <f>IFERROR(IF(SUBTOTAL(3,D23),#REF!+1,#REF!),1)</f>
        <v>1</v>
      </c>
      <c r="B23" s="186" t="s">
        <v>124</v>
      </c>
      <c r="C23" s="187" t="s">
        <v>1</v>
      </c>
      <c r="D23" s="188">
        <v>0</v>
      </c>
      <c r="E23" s="198">
        <v>0</v>
      </c>
      <c r="F23" s="190">
        <f>D23*E23</f>
        <v>0</v>
      </c>
      <c r="G23" s="217">
        <v>46143</v>
      </c>
      <c r="H23" s="199">
        <v>0</v>
      </c>
      <c r="I23" s="195">
        <f>D23*H23</f>
        <v>0</v>
      </c>
      <c r="J23" s="195">
        <f>F23-I23</f>
        <v>0</v>
      </c>
    </row>
    <row r="24" spans="1:10" s="76" customFormat="1">
      <c r="A24" s="168">
        <f>IFERROR(IF(SUBTOTAL(3,D24),#REF!+1,#REF!),1)</f>
        <v>1</v>
      </c>
      <c r="B24" s="186" t="s">
        <v>135</v>
      </c>
      <c r="C24" s="187" t="s">
        <v>1</v>
      </c>
      <c r="D24" s="188">
        <v>0</v>
      </c>
      <c r="E24" s="198">
        <v>0</v>
      </c>
      <c r="F24" s="190">
        <f>D24*E24</f>
        <v>0</v>
      </c>
      <c r="G24" s="217"/>
      <c r="H24" s="199">
        <v>0</v>
      </c>
      <c r="I24" s="195">
        <f>D24*H24</f>
        <v>0</v>
      </c>
      <c r="J24" s="195">
        <f>F24-I24</f>
        <v>0</v>
      </c>
    </row>
    <row r="25" spans="1:10" s="73" customFormat="1" ht="15" customHeight="1">
      <c r="A25" s="7">
        <v>1</v>
      </c>
      <c r="B25" s="176" t="s">
        <v>101</v>
      </c>
      <c r="C25" s="177" t="s">
        <v>1</v>
      </c>
      <c r="D25" s="178">
        <v>0</v>
      </c>
      <c r="E25" s="179">
        <v>2100</v>
      </c>
      <c r="F25" s="180">
        <f t="shared" si="0"/>
        <v>0</v>
      </c>
      <c r="G25" s="76"/>
      <c r="H25" s="81">
        <v>1450</v>
      </c>
      <c r="I25" s="170">
        <f t="shared" si="1"/>
        <v>0</v>
      </c>
      <c r="J25" s="170">
        <f t="shared" si="2"/>
        <v>0</v>
      </c>
    </row>
    <row r="26" spans="1:10" s="76" customFormat="1" ht="15" customHeight="1">
      <c r="A26" s="64">
        <v>1</v>
      </c>
      <c r="B26" s="181" t="s">
        <v>102</v>
      </c>
      <c r="C26" s="182" t="s">
        <v>1</v>
      </c>
      <c r="D26" s="183">
        <v>0</v>
      </c>
      <c r="E26" s="184">
        <v>2100</v>
      </c>
      <c r="F26" s="180">
        <f t="shared" si="0"/>
        <v>0</v>
      </c>
      <c r="H26" s="81">
        <v>1450</v>
      </c>
      <c r="I26" s="170">
        <f t="shared" si="1"/>
        <v>0</v>
      </c>
      <c r="J26" s="170">
        <f t="shared" si="2"/>
        <v>0</v>
      </c>
    </row>
    <row r="27" spans="1:10" s="73" customFormat="1" ht="15" customHeight="1">
      <c r="A27" s="7">
        <v>1</v>
      </c>
      <c r="B27" s="176" t="s">
        <v>103</v>
      </c>
      <c r="C27" s="177" t="s">
        <v>1</v>
      </c>
      <c r="D27" s="178">
        <v>0</v>
      </c>
      <c r="E27" s="179">
        <v>2500</v>
      </c>
      <c r="F27" s="180">
        <f t="shared" si="0"/>
        <v>0</v>
      </c>
      <c r="G27" s="76"/>
      <c r="H27" s="81">
        <v>1900</v>
      </c>
      <c r="I27" s="170">
        <f t="shared" si="1"/>
        <v>0</v>
      </c>
      <c r="J27" s="170">
        <f t="shared" si="2"/>
        <v>0</v>
      </c>
    </row>
    <row r="28" spans="1:10" s="73" customFormat="1" ht="15" customHeight="1">
      <c r="A28" s="7">
        <v>1</v>
      </c>
      <c r="B28" s="176" t="s">
        <v>125</v>
      </c>
      <c r="C28" s="177" t="s">
        <v>1</v>
      </c>
      <c r="D28" s="178">
        <v>0</v>
      </c>
      <c r="E28" s="179">
        <v>1900</v>
      </c>
      <c r="F28" s="180">
        <f>D28*E28</f>
        <v>0</v>
      </c>
      <c r="G28" s="76"/>
      <c r="H28" s="81">
        <v>1300</v>
      </c>
      <c r="I28" s="170">
        <f>D28*H28</f>
        <v>0</v>
      </c>
      <c r="J28" s="170">
        <f>F28-I28</f>
        <v>0</v>
      </c>
    </row>
    <row r="29" spans="1:10" s="76" customFormat="1" ht="15" customHeight="1">
      <c r="A29" s="161">
        <v>2</v>
      </c>
      <c r="B29" s="171" t="s">
        <v>104</v>
      </c>
      <c r="C29" s="172" t="s">
        <v>1</v>
      </c>
      <c r="D29" s="173">
        <v>0</v>
      </c>
      <c r="E29" s="174">
        <v>600</v>
      </c>
      <c r="F29" s="175">
        <f t="shared" si="0"/>
        <v>0</v>
      </c>
      <c r="H29" s="81">
        <v>400</v>
      </c>
      <c r="I29" s="170">
        <f t="shared" si="1"/>
        <v>0</v>
      </c>
      <c r="J29" s="170">
        <f t="shared" si="2"/>
        <v>0</v>
      </c>
    </row>
    <row r="30" spans="1:10" s="76" customFormat="1" ht="15" customHeight="1">
      <c r="A30" s="118">
        <v>2</v>
      </c>
      <c r="B30" s="127" t="s">
        <v>105</v>
      </c>
      <c r="C30" s="128" t="s">
        <v>1</v>
      </c>
      <c r="D30" s="30">
        <v>0</v>
      </c>
      <c r="E30" s="31">
        <v>1100</v>
      </c>
      <c r="F30" s="32">
        <f t="shared" si="0"/>
        <v>0</v>
      </c>
      <c r="H30" s="81">
        <v>900</v>
      </c>
      <c r="I30" s="170">
        <f t="shared" si="1"/>
        <v>0</v>
      </c>
      <c r="J30" s="170">
        <f t="shared" si="2"/>
        <v>0</v>
      </c>
    </row>
    <row r="31" spans="1:10" s="73" customFormat="1" ht="15" customHeight="1">
      <c r="A31" s="161">
        <v>3</v>
      </c>
      <c r="B31" s="171" t="s">
        <v>106</v>
      </c>
      <c r="C31" s="172" t="s">
        <v>2</v>
      </c>
      <c r="D31" s="173">
        <v>0</v>
      </c>
      <c r="E31" s="174">
        <v>400</v>
      </c>
      <c r="F31" s="175">
        <f t="shared" si="0"/>
        <v>0</v>
      </c>
      <c r="G31" s="76"/>
      <c r="H31" s="81">
        <v>300</v>
      </c>
      <c r="I31" s="170">
        <f t="shared" si="1"/>
        <v>0</v>
      </c>
      <c r="J31" s="170">
        <f t="shared" si="2"/>
        <v>0</v>
      </c>
    </row>
    <row r="32" spans="1:10" s="76" customFormat="1" ht="15" customHeight="1">
      <c r="A32" s="161">
        <v>3</v>
      </c>
      <c r="B32" s="171" t="s">
        <v>107</v>
      </c>
      <c r="C32" s="172" t="s">
        <v>2</v>
      </c>
      <c r="D32" s="173">
        <v>0</v>
      </c>
      <c r="E32" s="174">
        <v>450</v>
      </c>
      <c r="F32" s="175">
        <f t="shared" si="0"/>
        <v>0</v>
      </c>
      <c r="H32" s="81">
        <v>338</v>
      </c>
      <c r="I32" s="170">
        <f t="shared" si="1"/>
        <v>0</v>
      </c>
      <c r="J32" s="170">
        <f t="shared" si="2"/>
        <v>0</v>
      </c>
    </row>
    <row r="33" spans="1:10" s="73" customFormat="1" ht="15" customHeight="1">
      <c r="A33" s="118">
        <v>4</v>
      </c>
      <c r="B33" s="127" t="s">
        <v>108</v>
      </c>
      <c r="C33" s="128" t="s">
        <v>2</v>
      </c>
      <c r="D33" s="30">
        <v>0</v>
      </c>
      <c r="E33" s="31">
        <v>800</v>
      </c>
      <c r="F33" s="32">
        <f t="shared" si="0"/>
        <v>0</v>
      </c>
      <c r="G33" s="29"/>
      <c r="H33" s="81">
        <v>600</v>
      </c>
      <c r="I33" s="170">
        <f t="shared" si="1"/>
        <v>0</v>
      </c>
      <c r="J33" s="170">
        <f t="shared" si="2"/>
        <v>0</v>
      </c>
    </row>
    <row r="34" spans="1:10" s="76" customFormat="1" ht="15" customHeight="1">
      <c r="A34" s="126">
        <v>5</v>
      </c>
      <c r="B34" s="127" t="s">
        <v>72</v>
      </c>
      <c r="C34" s="128" t="s">
        <v>2</v>
      </c>
      <c r="D34" s="30">
        <v>0</v>
      </c>
      <c r="E34" s="31">
        <v>650</v>
      </c>
      <c r="F34" s="32">
        <f t="shared" si="0"/>
        <v>0</v>
      </c>
      <c r="G34" s="29"/>
      <c r="H34" s="81">
        <v>488</v>
      </c>
      <c r="I34" s="170">
        <f t="shared" si="1"/>
        <v>0</v>
      </c>
      <c r="J34" s="170">
        <f t="shared" si="2"/>
        <v>0</v>
      </c>
    </row>
    <row r="35" spans="1:10" s="76" customFormat="1" ht="15" customHeight="1">
      <c r="A35" s="126">
        <v>6</v>
      </c>
      <c r="B35" s="127" t="s">
        <v>73</v>
      </c>
      <c r="C35" s="128" t="s">
        <v>2</v>
      </c>
      <c r="D35" s="30">
        <v>0</v>
      </c>
      <c r="E35" s="31">
        <v>650</v>
      </c>
      <c r="F35" s="32">
        <f t="shared" si="0"/>
        <v>0</v>
      </c>
      <c r="G35" s="29"/>
      <c r="H35" s="81">
        <v>488</v>
      </c>
      <c r="I35" s="170">
        <f t="shared" si="1"/>
        <v>0</v>
      </c>
      <c r="J35" s="170">
        <f t="shared" si="2"/>
        <v>0</v>
      </c>
    </row>
    <row r="36" spans="1:10" s="73" customFormat="1" ht="15" customHeight="1">
      <c r="A36" s="126">
        <v>7</v>
      </c>
      <c r="B36" s="127" t="s">
        <v>94</v>
      </c>
      <c r="C36" s="128" t="s">
        <v>2</v>
      </c>
      <c r="D36" s="30">
        <v>0</v>
      </c>
      <c r="E36" s="31">
        <v>700</v>
      </c>
      <c r="F36" s="32">
        <f t="shared" si="0"/>
        <v>0</v>
      </c>
      <c r="G36" s="29"/>
      <c r="H36" s="81">
        <v>525</v>
      </c>
      <c r="I36" s="170">
        <f t="shared" si="1"/>
        <v>0</v>
      </c>
      <c r="J36" s="170">
        <f>F36-I36</f>
        <v>0</v>
      </c>
    </row>
    <row r="37" spans="1:10" s="73" customFormat="1" ht="15" customHeight="1">
      <c r="A37" s="126">
        <v>8</v>
      </c>
      <c r="B37" s="127" t="s">
        <v>95</v>
      </c>
      <c r="C37" s="128" t="s">
        <v>2</v>
      </c>
      <c r="D37" s="30">
        <v>0</v>
      </c>
      <c r="E37" s="31">
        <v>800</v>
      </c>
      <c r="F37" s="32">
        <f t="shared" si="0"/>
        <v>0</v>
      </c>
      <c r="G37" s="29"/>
      <c r="H37" s="81">
        <v>600</v>
      </c>
      <c r="I37" s="170">
        <f t="shared" si="1"/>
        <v>0</v>
      </c>
      <c r="J37" s="170">
        <f t="shared" si="2"/>
        <v>0</v>
      </c>
    </row>
    <row r="38" spans="1:10" s="76" customFormat="1" ht="15" customHeight="1">
      <c r="A38" s="126">
        <v>9</v>
      </c>
      <c r="B38" s="127" t="s">
        <v>59</v>
      </c>
      <c r="C38" s="128" t="s">
        <v>2</v>
      </c>
      <c r="D38" s="30">
        <v>0</v>
      </c>
      <c r="E38" s="31">
        <v>550</v>
      </c>
      <c r="F38" s="32">
        <f t="shared" si="0"/>
        <v>0</v>
      </c>
      <c r="G38" s="29"/>
      <c r="H38" s="81">
        <v>413</v>
      </c>
      <c r="I38" s="170">
        <f t="shared" si="1"/>
        <v>0</v>
      </c>
      <c r="J38" s="170">
        <f t="shared" si="2"/>
        <v>0</v>
      </c>
    </row>
    <row r="39" spans="1:10" s="76" customFormat="1" ht="15" customHeight="1">
      <c r="A39" s="126">
        <v>10</v>
      </c>
      <c r="B39" s="127" t="s">
        <v>66</v>
      </c>
      <c r="C39" s="128" t="s">
        <v>2</v>
      </c>
      <c r="D39" s="30">
        <v>0</v>
      </c>
      <c r="E39" s="31">
        <v>800</v>
      </c>
      <c r="F39" s="32">
        <f t="shared" si="0"/>
        <v>0</v>
      </c>
      <c r="G39" s="29"/>
      <c r="H39" s="81">
        <v>600</v>
      </c>
      <c r="I39" s="170">
        <f t="shared" si="1"/>
        <v>0</v>
      </c>
      <c r="J39" s="170">
        <f t="shared" si="2"/>
        <v>0</v>
      </c>
    </row>
    <row r="40" spans="1:10" s="76" customFormat="1" ht="15" customHeight="1">
      <c r="A40" s="126">
        <v>11</v>
      </c>
      <c r="B40" s="185" t="s">
        <v>109</v>
      </c>
      <c r="C40" s="128" t="s">
        <v>2</v>
      </c>
      <c r="D40" s="30">
        <v>0</v>
      </c>
      <c r="E40" s="31">
        <v>700</v>
      </c>
      <c r="F40" s="32">
        <f t="shared" si="0"/>
        <v>0</v>
      </c>
      <c r="G40" s="29"/>
      <c r="H40" s="81">
        <v>525</v>
      </c>
      <c r="I40" s="170">
        <f t="shared" si="1"/>
        <v>0</v>
      </c>
      <c r="J40" s="170">
        <f t="shared" si="2"/>
        <v>0</v>
      </c>
    </row>
    <row r="41" spans="1:10" s="76" customFormat="1" ht="15" customHeight="1">
      <c r="A41" s="126">
        <v>12</v>
      </c>
      <c r="B41" s="127" t="s">
        <v>74</v>
      </c>
      <c r="C41" s="128" t="s">
        <v>2</v>
      </c>
      <c r="D41" s="30">
        <v>0</v>
      </c>
      <c r="E41" s="31">
        <v>550</v>
      </c>
      <c r="F41" s="32">
        <f t="shared" si="0"/>
        <v>0</v>
      </c>
      <c r="G41" s="29"/>
      <c r="H41" s="81">
        <v>413</v>
      </c>
      <c r="I41" s="170">
        <f t="shared" si="1"/>
        <v>0</v>
      </c>
      <c r="J41" s="170">
        <f t="shared" si="2"/>
        <v>0</v>
      </c>
    </row>
    <row r="42" spans="1:10" s="76" customFormat="1" ht="29.25">
      <c r="A42" s="126">
        <v>13</v>
      </c>
      <c r="B42" s="127" t="s">
        <v>110</v>
      </c>
      <c r="C42" s="128" t="s">
        <v>2</v>
      </c>
      <c r="D42" s="30">
        <v>0</v>
      </c>
      <c r="E42" s="31">
        <v>900</v>
      </c>
      <c r="F42" s="32">
        <f t="shared" si="0"/>
        <v>0</v>
      </c>
      <c r="G42" s="29"/>
      <c r="H42" s="81">
        <v>675</v>
      </c>
      <c r="I42" s="170">
        <f t="shared" si="1"/>
        <v>0</v>
      </c>
      <c r="J42" s="170">
        <f t="shared" si="2"/>
        <v>0</v>
      </c>
    </row>
    <row r="43" spans="1:10" s="29" customFormat="1">
      <c r="A43" s="126">
        <v>14</v>
      </c>
      <c r="B43" s="127" t="s">
        <v>97</v>
      </c>
      <c r="C43" s="128" t="s">
        <v>2</v>
      </c>
      <c r="D43" s="30">
        <v>0</v>
      </c>
      <c r="E43" s="31">
        <v>850</v>
      </c>
      <c r="F43" s="32">
        <f>D43*E43</f>
        <v>0</v>
      </c>
      <c r="H43" s="81">
        <v>638</v>
      </c>
      <c r="I43" s="170">
        <f>D43*H43</f>
        <v>0</v>
      </c>
      <c r="J43" s="170">
        <f>F43-I43</f>
        <v>0</v>
      </c>
    </row>
    <row r="44" spans="1:10" s="76" customFormat="1">
      <c r="A44" s="126">
        <v>15</v>
      </c>
      <c r="B44" s="127" t="s">
        <v>111</v>
      </c>
      <c r="C44" s="128" t="s">
        <v>2</v>
      </c>
      <c r="D44" s="30">
        <v>0</v>
      </c>
      <c r="E44" s="31">
        <v>900</v>
      </c>
      <c r="F44" s="32">
        <f t="shared" si="0"/>
        <v>0</v>
      </c>
      <c r="G44" s="29"/>
      <c r="H44" s="81">
        <v>675</v>
      </c>
      <c r="I44" s="170">
        <f t="shared" si="1"/>
        <v>0</v>
      </c>
      <c r="J44" s="170">
        <f t="shared" si="2"/>
        <v>0</v>
      </c>
    </row>
    <row r="45" spans="1:10" s="76" customFormat="1" ht="28.5">
      <c r="A45" s="126">
        <v>16</v>
      </c>
      <c r="B45" s="127" t="s">
        <v>96</v>
      </c>
      <c r="C45" s="128" t="s">
        <v>2</v>
      </c>
      <c r="D45" s="30">
        <v>0</v>
      </c>
      <c r="E45" s="31">
        <v>300</v>
      </c>
      <c r="F45" s="32">
        <f t="shared" si="0"/>
        <v>0</v>
      </c>
      <c r="G45" s="29"/>
      <c r="H45" s="81">
        <v>210</v>
      </c>
      <c r="I45" s="170">
        <f t="shared" si="1"/>
        <v>0</v>
      </c>
      <c r="J45" s="170">
        <f t="shared" si="2"/>
        <v>0</v>
      </c>
    </row>
    <row r="46" spans="1:10" s="76" customFormat="1" ht="15" customHeight="1">
      <c r="A46" s="126">
        <v>17</v>
      </c>
      <c r="B46" s="127" t="s">
        <v>60</v>
      </c>
      <c r="C46" s="128" t="s">
        <v>2</v>
      </c>
      <c r="D46" s="30">
        <v>0</v>
      </c>
      <c r="E46" s="31">
        <v>850</v>
      </c>
      <c r="F46" s="32">
        <f t="shared" si="0"/>
        <v>0</v>
      </c>
      <c r="G46" s="29"/>
      <c r="H46" s="81">
        <v>638</v>
      </c>
      <c r="I46" s="170">
        <f t="shared" si="1"/>
        <v>0</v>
      </c>
      <c r="J46" s="170">
        <f t="shared" si="2"/>
        <v>0</v>
      </c>
    </row>
    <row r="47" spans="1:10" s="76" customFormat="1" ht="15" customHeight="1">
      <c r="A47" s="126">
        <v>18</v>
      </c>
      <c r="B47" s="127" t="s">
        <v>75</v>
      </c>
      <c r="C47" s="128" t="s">
        <v>2</v>
      </c>
      <c r="D47" s="30">
        <v>0</v>
      </c>
      <c r="E47" s="31">
        <v>900</v>
      </c>
      <c r="F47" s="32">
        <f t="shared" si="0"/>
        <v>0</v>
      </c>
      <c r="G47" s="29"/>
      <c r="H47" s="81">
        <v>675</v>
      </c>
      <c r="I47" s="170">
        <f t="shared" si="1"/>
        <v>0</v>
      </c>
      <c r="J47" s="170">
        <f t="shared" si="2"/>
        <v>0</v>
      </c>
    </row>
    <row r="48" spans="1:10" s="76" customFormat="1" ht="15" customHeight="1">
      <c r="A48" s="145">
        <v>19</v>
      </c>
      <c r="B48" s="186" t="s">
        <v>112</v>
      </c>
      <c r="C48" s="187" t="s">
        <v>2</v>
      </c>
      <c r="D48" s="188">
        <v>0</v>
      </c>
      <c r="E48" s="189">
        <v>0</v>
      </c>
      <c r="F48" s="190">
        <f t="shared" si="0"/>
        <v>0</v>
      </c>
      <c r="G48" s="146"/>
      <c r="H48" s="194">
        <v>0</v>
      </c>
      <c r="I48" s="195">
        <f t="shared" si="1"/>
        <v>0</v>
      </c>
      <c r="J48" s="195">
        <f t="shared" si="2"/>
        <v>0</v>
      </c>
    </row>
    <row r="49" spans="1:10" s="76" customFormat="1" ht="15" customHeight="1">
      <c r="A49" s="145">
        <v>20</v>
      </c>
      <c r="B49" s="191" t="s">
        <v>113</v>
      </c>
      <c r="C49" s="187" t="s">
        <v>2</v>
      </c>
      <c r="D49" s="188">
        <v>0</v>
      </c>
      <c r="E49" s="189">
        <v>0</v>
      </c>
      <c r="F49" s="190">
        <f t="shared" si="0"/>
        <v>0</v>
      </c>
      <c r="G49" s="146"/>
      <c r="H49" s="194">
        <v>0</v>
      </c>
      <c r="I49" s="195">
        <f t="shared" si="1"/>
        <v>0</v>
      </c>
      <c r="J49" s="195">
        <f t="shared" si="2"/>
        <v>0</v>
      </c>
    </row>
    <row r="50" spans="1:10" s="76" customFormat="1" ht="15" customHeight="1">
      <c r="A50" s="118">
        <v>21</v>
      </c>
      <c r="B50" s="127" t="s">
        <v>114</v>
      </c>
      <c r="C50" s="128" t="s">
        <v>57</v>
      </c>
      <c r="D50" s="30">
        <v>0</v>
      </c>
      <c r="E50" s="169">
        <v>0</v>
      </c>
      <c r="F50" s="32">
        <f t="shared" si="0"/>
        <v>0</v>
      </c>
      <c r="G50" s="29"/>
      <c r="H50" s="81">
        <v>1350</v>
      </c>
      <c r="I50" s="170">
        <f t="shared" si="1"/>
        <v>0</v>
      </c>
      <c r="J50" s="170">
        <f t="shared" si="2"/>
        <v>0</v>
      </c>
    </row>
    <row r="51" spans="1:10" s="76" customFormat="1" ht="29.25">
      <c r="A51" s="118">
        <v>22</v>
      </c>
      <c r="B51" s="192" t="s">
        <v>115</v>
      </c>
      <c r="C51" s="128" t="s">
        <v>57</v>
      </c>
      <c r="D51" s="30">
        <v>0</v>
      </c>
      <c r="E51" s="169">
        <v>0</v>
      </c>
      <c r="F51" s="32">
        <f t="shared" si="0"/>
        <v>0</v>
      </c>
      <c r="G51" s="29"/>
      <c r="H51" s="81">
        <v>1900</v>
      </c>
      <c r="I51" s="170">
        <f t="shared" si="1"/>
        <v>0</v>
      </c>
      <c r="J51" s="170">
        <f t="shared" si="2"/>
        <v>0</v>
      </c>
    </row>
    <row r="52" spans="1:10" s="76" customFormat="1" ht="28.5" customHeight="1">
      <c r="A52" s="118">
        <v>23</v>
      </c>
      <c r="B52" s="20" t="s">
        <v>116</v>
      </c>
      <c r="C52" s="128" t="s">
        <v>57</v>
      </c>
      <c r="D52" s="30">
        <v>0</v>
      </c>
      <c r="E52" s="169">
        <v>0</v>
      </c>
      <c r="F52" s="32">
        <f t="shared" si="0"/>
        <v>0</v>
      </c>
      <c r="G52" s="29"/>
      <c r="H52" s="81">
        <v>1900</v>
      </c>
      <c r="I52" s="170">
        <f t="shared" si="1"/>
        <v>0</v>
      </c>
      <c r="J52" s="170">
        <f t="shared" si="2"/>
        <v>0</v>
      </c>
    </row>
    <row r="53" spans="1:10" s="77" customFormat="1">
      <c r="A53" s="82"/>
      <c r="B53" s="83" t="s">
        <v>58</v>
      </c>
      <c r="C53" s="84"/>
      <c r="D53" s="85"/>
      <c r="E53" s="86"/>
      <c r="F53" s="87"/>
      <c r="G53" s="76"/>
      <c r="H53" s="88"/>
      <c r="I53" s="75"/>
      <c r="J53" s="75"/>
    </row>
    <row r="54" spans="1:10" s="73" customFormat="1" ht="14.25" customHeight="1">
      <c r="A54" s="7">
        <v>24</v>
      </c>
      <c r="B54" s="193" t="s">
        <v>128</v>
      </c>
      <c r="C54" s="112" t="s">
        <v>3</v>
      </c>
      <c r="D54" s="13">
        <v>0</v>
      </c>
      <c r="E54" s="115">
        <v>450</v>
      </c>
      <c r="F54" s="14">
        <f t="shared" ref="F54:F63" si="3">D54*E54</f>
        <v>0</v>
      </c>
      <c r="G54" s="76"/>
      <c r="H54" s="79">
        <v>350</v>
      </c>
      <c r="I54" s="80">
        <f t="shared" ref="I54:I63" si="4">D54*H54</f>
        <v>0</v>
      </c>
      <c r="J54" s="78">
        <f t="shared" ref="J54:J63" si="5">F54-I54</f>
        <v>0</v>
      </c>
    </row>
    <row r="55" spans="1:10" s="73" customFormat="1" ht="14.25" customHeight="1">
      <c r="A55" s="7">
        <v>25</v>
      </c>
      <c r="B55" s="193" t="s">
        <v>129</v>
      </c>
      <c r="C55" s="144" t="s">
        <v>3</v>
      </c>
      <c r="D55" s="13">
        <v>0</v>
      </c>
      <c r="E55" s="115">
        <v>800</v>
      </c>
      <c r="F55" s="14">
        <f>D55*E55</f>
        <v>0</v>
      </c>
      <c r="G55" s="76"/>
      <c r="H55" s="79">
        <v>600</v>
      </c>
      <c r="I55" s="80">
        <f>D55*H55</f>
        <v>0</v>
      </c>
      <c r="J55" s="78">
        <f>F55-I55</f>
        <v>0</v>
      </c>
    </row>
    <row r="56" spans="1:10" s="73" customFormat="1" ht="14.25" customHeight="1">
      <c r="A56" s="7">
        <v>26</v>
      </c>
      <c r="B56" s="193" t="s">
        <v>130</v>
      </c>
      <c r="C56" s="144" t="s">
        <v>3</v>
      </c>
      <c r="D56" s="13">
        <v>0</v>
      </c>
      <c r="E56" s="115">
        <v>1200</v>
      </c>
      <c r="F56" s="14">
        <f>D56*E56</f>
        <v>0</v>
      </c>
      <c r="G56" s="76"/>
      <c r="H56" s="79">
        <v>850</v>
      </c>
      <c r="I56" s="80">
        <f>D56*H56</f>
        <v>0</v>
      </c>
      <c r="J56" s="78">
        <f>F56-I56</f>
        <v>0</v>
      </c>
    </row>
    <row r="57" spans="1:10" s="73" customFormat="1" ht="14.25" customHeight="1">
      <c r="A57" s="7">
        <v>27</v>
      </c>
      <c r="B57" s="193" t="s">
        <v>131</v>
      </c>
      <c r="C57" s="144" t="s">
        <v>3</v>
      </c>
      <c r="D57" s="13">
        <v>0</v>
      </c>
      <c r="E57" s="115">
        <v>1600</v>
      </c>
      <c r="F57" s="14">
        <f>D57*E57</f>
        <v>0</v>
      </c>
      <c r="G57" s="76"/>
      <c r="H57" s="79">
        <v>1100</v>
      </c>
      <c r="I57" s="80">
        <f>D57*H57</f>
        <v>0</v>
      </c>
      <c r="J57" s="78">
        <f>F57-I57</f>
        <v>0</v>
      </c>
    </row>
    <row r="58" spans="1:10" s="73" customFormat="1" ht="14.25" customHeight="1">
      <c r="A58" s="7">
        <v>28</v>
      </c>
      <c r="B58" s="193" t="s">
        <v>132</v>
      </c>
      <c r="C58" s="144" t="s">
        <v>3</v>
      </c>
      <c r="D58" s="13">
        <v>0</v>
      </c>
      <c r="E58" s="115">
        <v>2000</v>
      </c>
      <c r="F58" s="14">
        <f>D58*E58</f>
        <v>0</v>
      </c>
      <c r="G58" s="76"/>
      <c r="H58" s="79">
        <v>1300</v>
      </c>
      <c r="I58" s="80">
        <f>D58*H58</f>
        <v>0</v>
      </c>
      <c r="J58" s="78">
        <f>F58-I58</f>
        <v>0</v>
      </c>
    </row>
    <row r="59" spans="1:10" s="73" customFormat="1" ht="14.25">
      <c r="A59" s="7">
        <v>29</v>
      </c>
      <c r="B59" s="117" t="s">
        <v>32</v>
      </c>
      <c r="C59" s="112" t="s">
        <v>3</v>
      </c>
      <c r="D59" s="13">
        <v>0</v>
      </c>
      <c r="E59" s="115">
        <v>450</v>
      </c>
      <c r="F59" s="14">
        <f t="shared" si="3"/>
        <v>0</v>
      </c>
      <c r="G59" s="76"/>
      <c r="H59" s="79">
        <v>300</v>
      </c>
      <c r="I59" s="80">
        <f t="shared" si="4"/>
        <v>0</v>
      </c>
      <c r="J59" s="78">
        <f t="shared" si="5"/>
        <v>0</v>
      </c>
    </row>
    <row r="60" spans="1:10" s="73" customFormat="1" ht="28.5">
      <c r="A60" s="7">
        <v>30</v>
      </c>
      <c r="B60" s="117" t="s">
        <v>33</v>
      </c>
      <c r="C60" s="112" t="s">
        <v>3</v>
      </c>
      <c r="D60" s="13">
        <v>0</v>
      </c>
      <c r="E60" s="115">
        <v>800</v>
      </c>
      <c r="F60" s="14">
        <f t="shared" si="3"/>
        <v>0</v>
      </c>
      <c r="G60" s="76"/>
      <c r="H60" s="79">
        <v>400</v>
      </c>
      <c r="I60" s="80">
        <f t="shared" si="4"/>
        <v>0</v>
      </c>
      <c r="J60" s="78">
        <f t="shared" si="5"/>
        <v>0</v>
      </c>
    </row>
    <row r="61" spans="1:10" s="73" customFormat="1" ht="14.25">
      <c r="A61" s="7">
        <v>31</v>
      </c>
      <c r="B61" s="117" t="s">
        <v>26</v>
      </c>
      <c r="C61" s="112" t="s">
        <v>2</v>
      </c>
      <c r="D61" s="15">
        <v>0</v>
      </c>
      <c r="E61" s="115">
        <v>400</v>
      </c>
      <c r="F61" s="14">
        <f t="shared" si="3"/>
        <v>0</v>
      </c>
      <c r="G61" s="76"/>
      <c r="H61" s="79">
        <v>200</v>
      </c>
      <c r="I61" s="80">
        <f t="shared" si="4"/>
        <v>0</v>
      </c>
      <c r="J61" s="78">
        <f t="shared" si="5"/>
        <v>0</v>
      </c>
    </row>
    <row r="62" spans="1:10" s="73" customFormat="1" ht="14.25">
      <c r="A62" s="7">
        <v>32</v>
      </c>
      <c r="B62" s="117" t="s">
        <v>36</v>
      </c>
      <c r="C62" s="112" t="s">
        <v>3</v>
      </c>
      <c r="D62" s="15">
        <v>0</v>
      </c>
      <c r="E62" s="150">
        <v>0</v>
      </c>
      <c r="F62" s="14">
        <f t="shared" si="3"/>
        <v>0</v>
      </c>
      <c r="G62" s="76"/>
      <c r="H62" s="158">
        <v>0</v>
      </c>
      <c r="I62" s="78">
        <f t="shared" si="4"/>
        <v>0</v>
      </c>
      <c r="J62" s="78">
        <f t="shared" si="5"/>
        <v>0</v>
      </c>
    </row>
    <row r="63" spans="1:10" s="73" customFormat="1" ht="14.25">
      <c r="A63" s="7">
        <v>33</v>
      </c>
      <c r="B63" s="135" t="s">
        <v>68</v>
      </c>
      <c r="C63" s="144" t="s">
        <v>1</v>
      </c>
      <c r="D63" s="13">
        <v>0</v>
      </c>
      <c r="E63" s="150">
        <v>0</v>
      </c>
      <c r="F63" s="14">
        <f t="shared" si="3"/>
        <v>0</v>
      </c>
      <c r="G63" s="76"/>
      <c r="H63" s="158">
        <v>0</v>
      </c>
      <c r="I63" s="78">
        <f t="shared" si="4"/>
        <v>0</v>
      </c>
      <c r="J63" s="78">
        <f t="shared" si="5"/>
        <v>0</v>
      </c>
    </row>
    <row r="64" spans="1:10" s="73" customFormat="1">
      <c r="A64" s="82"/>
      <c r="B64" s="89" t="s">
        <v>21</v>
      </c>
      <c r="C64" s="84"/>
      <c r="D64" s="85"/>
      <c r="E64" s="86"/>
      <c r="F64" s="87"/>
      <c r="G64" s="76"/>
      <c r="H64" s="88"/>
      <c r="I64" s="75"/>
      <c r="J64" s="75"/>
    </row>
    <row r="65" spans="1:10" s="73" customFormat="1" ht="14.25">
      <c r="A65" s="7">
        <v>34</v>
      </c>
      <c r="B65" s="193" t="s">
        <v>35</v>
      </c>
      <c r="C65" s="112" t="s">
        <v>2</v>
      </c>
      <c r="D65" s="13">
        <v>0</v>
      </c>
      <c r="E65" s="150">
        <v>0</v>
      </c>
      <c r="F65" s="14">
        <f>D65*E65</f>
        <v>0</v>
      </c>
      <c r="G65" s="76"/>
      <c r="H65" s="158">
        <v>0</v>
      </c>
      <c r="I65" s="78">
        <f>D65*H65</f>
        <v>0</v>
      </c>
      <c r="J65" s="78">
        <f>F65-I65</f>
        <v>0</v>
      </c>
    </row>
    <row r="66" spans="1:10" s="73" customFormat="1" ht="14.25">
      <c r="A66" s="7">
        <v>35</v>
      </c>
      <c r="B66" s="129" t="s">
        <v>67</v>
      </c>
      <c r="C66" s="112" t="s">
        <v>2</v>
      </c>
      <c r="D66" s="13">
        <v>0</v>
      </c>
      <c r="E66" s="150">
        <v>0</v>
      </c>
      <c r="F66" s="14">
        <f>D66*E66</f>
        <v>0</v>
      </c>
      <c r="G66" s="76"/>
      <c r="H66" s="158">
        <v>0</v>
      </c>
      <c r="I66" s="78">
        <f>D66*H66</f>
        <v>0</v>
      </c>
      <c r="J66" s="78">
        <f>F66-I66</f>
        <v>0</v>
      </c>
    </row>
    <row r="67" spans="1:10" s="73" customFormat="1" ht="14.25">
      <c r="A67" s="7">
        <v>36</v>
      </c>
      <c r="B67" s="193" t="s">
        <v>118</v>
      </c>
      <c r="C67" s="112" t="s">
        <v>2</v>
      </c>
      <c r="D67" s="13">
        <v>0</v>
      </c>
      <c r="E67" s="150">
        <v>0</v>
      </c>
      <c r="F67" s="14">
        <f>D67*E67</f>
        <v>0</v>
      </c>
      <c r="G67" s="76"/>
      <c r="H67" s="158">
        <v>0</v>
      </c>
      <c r="I67" s="78">
        <f>D67*H67</f>
        <v>0</v>
      </c>
      <c r="J67" s="78">
        <f>F67-I67</f>
        <v>0</v>
      </c>
    </row>
    <row r="68" spans="1:10" s="73" customFormat="1" ht="14.25">
      <c r="A68" s="16"/>
      <c r="B68" s="116"/>
      <c r="C68" s="9"/>
      <c r="D68" s="10"/>
      <c r="E68" s="12"/>
      <c r="F68" s="17"/>
      <c r="G68" s="76"/>
      <c r="H68" s="79"/>
      <c r="I68" s="80"/>
      <c r="J68" s="78"/>
    </row>
    <row r="69" spans="1:10" s="73" customFormat="1">
      <c r="A69" s="90"/>
      <c r="B69" s="226" t="s">
        <v>10</v>
      </c>
      <c r="C69" s="226"/>
      <c r="D69" s="91"/>
      <c r="E69" s="91"/>
      <c r="F69" s="92">
        <f>SUM(F15:F67)</f>
        <v>0</v>
      </c>
      <c r="G69" s="76"/>
      <c r="H69" s="103"/>
      <c r="I69" s="103">
        <f>SUM(I15:I68)</f>
        <v>0</v>
      </c>
      <c r="J69" s="103">
        <f>SUM(J15:J68)</f>
        <v>0</v>
      </c>
    </row>
    <row r="70" spans="1:10">
      <c r="A70" s="49"/>
      <c r="B70" s="44"/>
      <c r="C70" s="45"/>
      <c r="D70" s="46"/>
      <c r="E70" s="47"/>
      <c r="F70" s="50"/>
      <c r="H70" s="51"/>
      <c r="I70" s="48"/>
      <c r="J70" s="48"/>
    </row>
    <row r="71" spans="1:10" s="125" customFormat="1">
      <c r="A71" s="49"/>
      <c r="B71" s="44"/>
      <c r="C71" s="45"/>
      <c r="D71" s="131"/>
      <c r="E71" s="47"/>
      <c r="F71" s="50"/>
      <c r="G71" s="43"/>
      <c r="H71" s="51"/>
      <c r="I71" s="48"/>
      <c r="J71" s="48"/>
    </row>
    <row r="72" spans="1:10" s="43" customFormat="1" ht="15.75">
      <c r="A72" s="52"/>
      <c r="B72" s="53" t="s">
        <v>12</v>
      </c>
      <c r="C72" s="54"/>
      <c r="D72" s="130"/>
      <c r="E72" s="54"/>
      <c r="F72" s="55"/>
      <c r="I72" s="56"/>
      <c r="J72" s="56"/>
    </row>
    <row r="73" spans="1:10" ht="30">
      <c r="A73" s="40" t="s">
        <v>7</v>
      </c>
      <c r="B73" s="40" t="s">
        <v>0</v>
      </c>
      <c r="C73" s="40" t="s">
        <v>41</v>
      </c>
      <c r="D73" s="40" t="s">
        <v>8</v>
      </c>
      <c r="E73" s="40" t="s">
        <v>15</v>
      </c>
      <c r="F73" s="40" t="s">
        <v>9</v>
      </c>
      <c r="H73" s="5" t="s">
        <v>40</v>
      </c>
      <c r="I73" s="41" t="s">
        <v>18</v>
      </c>
      <c r="J73" s="42" t="s">
        <v>19</v>
      </c>
    </row>
    <row r="74" spans="1:10" s="73" customFormat="1">
      <c r="A74" s="100">
        <v>1</v>
      </c>
      <c r="B74" s="72" t="s">
        <v>20</v>
      </c>
      <c r="C74" s="101">
        <v>3</v>
      </c>
      <c r="D74" s="101">
        <v>4</v>
      </c>
      <c r="E74" s="101">
        <v>5</v>
      </c>
      <c r="F74" s="101">
        <v>6</v>
      </c>
      <c r="G74" s="76"/>
      <c r="H74" s="74"/>
      <c r="I74" s="75"/>
      <c r="J74" s="75"/>
    </row>
    <row r="75" spans="1:10" s="76" customFormat="1" ht="14.25">
      <c r="A75" s="161">
        <f>IFERROR(IF(SUBTOTAL(3,D75),A73+1,A73),1)</f>
        <v>1</v>
      </c>
      <c r="B75" s="196" t="s">
        <v>25</v>
      </c>
      <c r="C75" s="162" t="s">
        <v>1</v>
      </c>
      <c r="D75" s="163">
        <v>0</v>
      </c>
      <c r="E75" s="197">
        <v>1300</v>
      </c>
      <c r="F75" s="164">
        <f>D75*E75</f>
        <v>0</v>
      </c>
      <c r="H75" s="140">
        <v>700</v>
      </c>
      <c r="I75" s="78">
        <f>D75*H75</f>
        <v>0</v>
      </c>
      <c r="J75" s="78">
        <f>F75-I75</f>
        <v>0</v>
      </c>
    </row>
    <row r="76" spans="1:10" s="76" customFormat="1" ht="14.25">
      <c r="A76" s="118">
        <v>1</v>
      </c>
      <c r="B76" s="141" t="s">
        <v>69</v>
      </c>
      <c r="C76" s="143" t="s">
        <v>1</v>
      </c>
      <c r="D76" s="15">
        <v>0</v>
      </c>
      <c r="E76" s="137">
        <v>1400</v>
      </c>
      <c r="F76" s="136">
        <f>D76*E76</f>
        <v>0</v>
      </c>
      <c r="H76" s="140">
        <v>800</v>
      </c>
      <c r="I76" s="78">
        <f>D76*H76</f>
        <v>0</v>
      </c>
      <c r="J76" s="78">
        <f>F76-I76</f>
        <v>0</v>
      </c>
    </row>
    <row r="77" spans="1:10" s="73" customFormat="1">
      <c r="A77" s="201"/>
      <c r="B77" s="202" t="s">
        <v>45</v>
      </c>
      <c r="C77" s="203"/>
      <c r="D77" s="204"/>
      <c r="E77" s="205"/>
      <c r="F77" s="206"/>
      <c r="G77" s="76"/>
      <c r="H77" s="207"/>
      <c r="I77" s="208"/>
      <c r="J77" s="208"/>
    </row>
    <row r="78" spans="1:10" s="73" customFormat="1" ht="14.25">
      <c r="A78" s="19">
        <v>2</v>
      </c>
      <c r="B78" s="138" t="s">
        <v>77</v>
      </c>
      <c r="C78" s="28" t="s">
        <v>2</v>
      </c>
      <c r="D78" s="26">
        <v>0</v>
      </c>
      <c r="E78" s="22">
        <v>500</v>
      </c>
      <c r="F78" s="14">
        <f>D78*E78</f>
        <v>0</v>
      </c>
      <c r="G78" s="76"/>
      <c r="H78" s="93">
        <v>150</v>
      </c>
      <c r="I78" s="80">
        <f>D78*H78</f>
        <v>0</v>
      </c>
      <c r="J78" s="78">
        <f>F78-I78</f>
        <v>0</v>
      </c>
    </row>
    <row r="79" spans="1:10" s="73" customFormat="1" ht="14.25">
      <c r="A79" s="19">
        <v>3</v>
      </c>
      <c r="B79" s="138" t="s">
        <v>83</v>
      </c>
      <c r="C79" s="133" t="s">
        <v>1</v>
      </c>
      <c r="D79" s="26">
        <v>0</v>
      </c>
      <c r="E79" s="22">
        <v>350</v>
      </c>
      <c r="F79" s="14">
        <f>D79*E79</f>
        <v>0</v>
      </c>
      <c r="G79" s="76"/>
      <c r="H79" s="93">
        <v>150</v>
      </c>
      <c r="I79" s="80">
        <f>D79*H79</f>
        <v>0</v>
      </c>
      <c r="J79" s="78">
        <f>F79-I79</f>
        <v>0</v>
      </c>
    </row>
    <row r="80" spans="1:10" s="76" customFormat="1" ht="14.25">
      <c r="A80" s="139">
        <v>4</v>
      </c>
      <c r="B80" s="141" t="s">
        <v>84</v>
      </c>
      <c r="C80" s="143" t="s">
        <v>1</v>
      </c>
      <c r="D80" s="26">
        <v>0</v>
      </c>
      <c r="E80" s="137">
        <v>450</v>
      </c>
      <c r="F80" s="14">
        <f>D80*E80</f>
        <v>0</v>
      </c>
      <c r="H80" s="140">
        <v>200</v>
      </c>
      <c r="I80" s="80">
        <f>D80*H80</f>
        <v>0</v>
      </c>
      <c r="J80" s="78">
        <f>F80-I80</f>
        <v>0</v>
      </c>
    </row>
    <row r="81" spans="1:10" s="73" customFormat="1" ht="14.25">
      <c r="A81" s="19">
        <v>5</v>
      </c>
      <c r="B81" s="132" t="s">
        <v>34</v>
      </c>
      <c r="C81" s="133" t="s">
        <v>2</v>
      </c>
      <c r="D81" s="26">
        <v>0</v>
      </c>
      <c r="E81" s="22">
        <v>800</v>
      </c>
      <c r="F81" s="14">
        <f>D81*E81</f>
        <v>0</v>
      </c>
      <c r="G81" s="76"/>
      <c r="H81" s="93">
        <v>400</v>
      </c>
      <c r="I81" s="80">
        <f>D81*H81</f>
        <v>0</v>
      </c>
      <c r="J81" s="78">
        <f>F81-I81</f>
        <v>0</v>
      </c>
    </row>
    <row r="82" spans="1:10" s="73" customFormat="1">
      <c r="A82" s="200"/>
      <c r="B82" s="211" t="s">
        <v>45</v>
      </c>
      <c r="C82" s="212"/>
      <c r="D82" s="213"/>
      <c r="E82" s="214"/>
      <c r="F82" s="215"/>
      <c r="G82" s="76"/>
      <c r="H82" s="209"/>
      <c r="I82" s="210"/>
      <c r="J82" s="210"/>
    </row>
    <row r="83" spans="1:10" s="73" customFormat="1" ht="14.25">
      <c r="A83" s="7">
        <v>6</v>
      </c>
      <c r="B83" s="134" t="s">
        <v>71</v>
      </c>
      <c r="C83" s="28" t="s">
        <v>2</v>
      </c>
      <c r="D83" s="13">
        <v>0</v>
      </c>
      <c r="E83" s="21">
        <v>800</v>
      </c>
      <c r="F83" s="14">
        <f t="shared" ref="F83:F109" si="6">D83*E83</f>
        <v>0</v>
      </c>
      <c r="G83" s="76"/>
      <c r="H83" s="93">
        <v>500</v>
      </c>
      <c r="I83" s="80">
        <f t="shared" ref="I83:I109" si="7">D83*H83</f>
        <v>0</v>
      </c>
      <c r="J83" s="78">
        <f>F83-I83</f>
        <v>0</v>
      </c>
    </row>
    <row r="84" spans="1:10" s="73" customFormat="1" ht="14.25">
      <c r="A84" s="7">
        <v>7</v>
      </c>
      <c r="B84" s="65" t="s">
        <v>46</v>
      </c>
      <c r="C84" s="28" t="s">
        <v>2</v>
      </c>
      <c r="D84" s="13">
        <v>0</v>
      </c>
      <c r="E84" s="21">
        <v>800</v>
      </c>
      <c r="F84" s="14">
        <f t="shared" si="6"/>
        <v>0</v>
      </c>
      <c r="G84" s="76"/>
      <c r="H84" s="93">
        <v>600</v>
      </c>
      <c r="I84" s="80">
        <f t="shared" si="7"/>
        <v>0</v>
      </c>
      <c r="J84" s="78">
        <f t="shared" ref="J84:J109" si="8">F84-I84</f>
        <v>0</v>
      </c>
    </row>
    <row r="85" spans="1:10" s="76" customFormat="1" ht="14.25">
      <c r="A85" s="7">
        <v>8</v>
      </c>
      <c r="B85" s="141" t="s">
        <v>81</v>
      </c>
      <c r="C85" s="143" t="s">
        <v>3</v>
      </c>
      <c r="D85" s="15">
        <v>0</v>
      </c>
      <c r="E85" s="137">
        <v>150</v>
      </c>
      <c r="F85" s="14">
        <f t="shared" si="6"/>
        <v>0</v>
      </c>
      <c r="H85" s="140">
        <v>50</v>
      </c>
      <c r="I85" s="80">
        <f t="shared" si="7"/>
        <v>0</v>
      </c>
      <c r="J85" s="78">
        <f t="shared" si="8"/>
        <v>0</v>
      </c>
    </row>
    <row r="86" spans="1:10" s="76" customFormat="1" ht="14.25">
      <c r="A86" s="7">
        <v>9</v>
      </c>
      <c r="B86" s="141" t="s">
        <v>78</v>
      </c>
      <c r="C86" s="143" t="s">
        <v>2</v>
      </c>
      <c r="D86" s="15">
        <v>0</v>
      </c>
      <c r="E86" s="137">
        <v>1600</v>
      </c>
      <c r="F86" s="14">
        <f t="shared" si="6"/>
        <v>0</v>
      </c>
      <c r="H86" s="140">
        <v>800</v>
      </c>
      <c r="I86" s="80">
        <f t="shared" si="7"/>
        <v>0</v>
      </c>
      <c r="J86" s="78">
        <f t="shared" si="8"/>
        <v>0</v>
      </c>
    </row>
    <row r="87" spans="1:10" s="76" customFormat="1" ht="14.25">
      <c r="A87" s="7">
        <v>10</v>
      </c>
      <c r="B87" s="141" t="s">
        <v>82</v>
      </c>
      <c r="C87" s="143" t="s">
        <v>3</v>
      </c>
      <c r="D87" s="15">
        <v>0</v>
      </c>
      <c r="E87" s="137">
        <v>500</v>
      </c>
      <c r="F87" s="14">
        <f t="shared" si="6"/>
        <v>0</v>
      </c>
      <c r="H87" s="140">
        <v>250</v>
      </c>
      <c r="I87" s="80">
        <f t="shared" si="7"/>
        <v>0</v>
      </c>
      <c r="J87" s="78">
        <f t="shared" si="8"/>
        <v>0</v>
      </c>
    </row>
    <row r="88" spans="1:10" s="76" customFormat="1">
      <c r="A88" s="7">
        <v>11</v>
      </c>
      <c r="B88" s="141" t="s">
        <v>79</v>
      </c>
      <c r="C88" s="143" t="s">
        <v>2</v>
      </c>
      <c r="D88" s="142">
        <v>0</v>
      </c>
      <c r="E88" s="137">
        <v>1600</v>
      </c>
      <c r="F88" s="14">
        <f t="shared" si="6"/>
        <v>0</v>
      </c>
      <c r="H88" s="140">
        <v>800</v>
      </c>
      <c r="I88" s="80">
        <f t="shared" si="7"/>
        <v>0</v>
      </c>
      <c r="J88" s="78">
        <f t="shared" si="8"/>
        <v>0</v>
      </c>
    </row>
    <row r="89" spans="1:10" s="76" customFormat="1" ht="14.25">
      <c r="A89" s="7">
        <v>12</v>
      </c>
      <c r="B89" s="147" t="s">
        <v>87</v>
      </c>
      <c r="C89" s="143" t="s">
        <v>3</v>
      </c>
      <c r="D89" s="15">
        <v>0</v>
      </c>
      <c r="E89" s="137">
        <v>1000</v>
      </c>
      <c r="F89" s="14">
        <f t="shared" si="6"/>
        <v>0</v>
      </c>
      <c r="H89" s="140">
        <v>500</v>
      </c>
      <c r="I89" s="80">
        <f t="shared" si="7"/>
        <v>0</v>
      </c>
      <c r="J89" s="78">
        <f t="shared" si="8"/>
        <v>0</v>
      </c>
    </row>
    <row r="90" spans="1:10" s="76" customFormat="1" ht="14.25">
      <c r="A90" s="7">
        <v>13</v>
      </c>
      <c r="B90" s="147" t="s">
        <v>89</v>
      </c>
      <c r="C90" s="143" t="s">
        <v>3</v>
      </c>
      <c r="D90" s="15">
        <v>0</v>
      </c>
      <c r="E90" s="137">
        <v>2000</v>
      </c>
      <c r="F90" s="14">
        <f t="shared" si="6"/>
        <v>0</v>
      </c>
      <c r="H90" s="140">
        <v>1000</v>
      </c>
      <c r="I90" s="80">
        <f t="shared" si="7"/>
        <v>0</v>
      </c>
      <c r="J90" s="78">
        <f t="shared" si="8"/>
        <v>0</v>
      </c>
    </row>
    <row r="91" spans="1:10" s="76" customFormat="1" ht="14.25" customHeight="1">
      <c r="A91" s="7">
        <v>14</v>
      </c>
      <c r="B91" s="222" t="s">
        <v>80</v>
      </c>
      <c r="C91" s="143" t="s">
        <v>2</v>
      </c>
      <c r="D91" s="15">
        <v>0</v>
      </c>
      <c r="E91" s="137">
        <v>0</v>
      </c>
      <c r="F91" s="14">
        <f t="shared" si="6"/>
        <v>0</v>
      </c>
      <c r="H91" s="140">
        <v>30</v>
      </c>
      <c r="I91" s="80">
        <f t="shared" si="7"/>
        <v>0</v>
      </c>
      <c r="J91" s="78">
        <f t="shared" si="8"/>
        <v>0</v>
      </c>
    </row>
    <row r="92" spans="1:10" s="76" customFormat="1">
      <c r="A92" s="7">
        <v>15</v>
      </c>
      <c r="B92" s="147" t="s">
        <v>85</v>
      </c>
      <c r="C92" s="119" t="s">
        <v>2</v>
      </c>
      <c r="D92" s="142">
        <v>0</v>
      </c>
      <c r="E92" s="137">
        <v>1200</v>
      </c>
      <c r="F92" s="14">
        <f t="shared" si="6"/>
        <v>0</v>
      </c>
      <c r="H92" s="140">
        <v>400</v>
      </c>
      <c r="I92" s="80">
        <f t="shared" si="7"/>
        <v>0</v>
      </c>
      <c r="J92" s="78">
        <f t="shared" si="8"/>
        <v>0</v>
      </c>
    </row>
    <row r="93" spans="1:10" s="76" customFormat="1">
      <c r="A93" s="7">
        <v>16</v>
      </c>
      <c r="B93" s="222" t="s">
        <v>136</v>
      </c>
      <c r="C93" s="119" t="s">
        <v>2</v>
      </c>
      <c r="D93" s="142">
        <v>0</v>
      </c>
      <c r="E93" s="137">
        <v>1600</v>
      </c>
      <c r="F93" s="14">
        <f t="shared" si="6"/>
        <v>0</v>
      </c>
      <c r="H93" s="140">
        <v>600</v>
      </c>
      <c r="I93" s="80">
        <f t="shared" si="7"/>
        <v>0</v>
      </c>
      <c r="J93" s="78">
        <f t="shared" si="8"/>
        <v>0</v>
      </c>
    </row>
    <row r="94" spans="1:10" s="76" customFormat="1">
      <c r="A94" s="7">
        <v>17</v>
      </c>
      <c r="B94" s="147" t="s">
        <v>86</v>
      </c>
      <c r="C94" s="119" t="s">
        <v>3</v>
      </c>
      <c r="D94" s="142">
        <v>0</v>
      </c>
      <c r="E94" s="137">
        <v>1000</v>
      </c>
      <c r="F94" s="14">
        <f t="shared" si="6"/>
        <v>0</v>
      </c>
      <c r="H94" s="140">
        <v>500</v>
      </c>
      <c r="I94" s="80">
        <f t="shared" si="7"/>
        <v>0</v>
      </c>
      <c r="J94" s="78">
        <f t="shared" si="8"/>
        <v>0</v>
      </c>
    </row>
    <row r="95" spans="1:10" s="73" customFormat="1" ht="14.25">
      <c r="A95" s="7">
        <v>18</v>
      </c>
      <c r="B95" s="120" t="s">
        <v>61</v>
      </c>
      <c r="C95" s="28" t="s">
        <v>3</v>
      </c>
      <c r="D95" s="13">
        <v>0</v>
      </c>
      <c r="E95" s="22">
        <v>600</v>
      </c>
      <c r="F95" s="14">
        <f t="shared" si="6"/>
        <v>0</v>
      </c>
      <c r="G95" s="76"/>
      <c r="H95" s="93">
        <v>250</v>
      </c>
      <c r="I95" s="80">
        <f t="shared" si="7"/>
        <v>0</v>
      </c>
      <c r="J95" s="78">
        <f t="shared" si="8"/>
        <v>0</v>
      </c>
    </row>
    <row r="96" spans="1:10" s="73" customFormat="1" ht="14.25">
      <c r="A96" s="7">
        <v>19</v>
      </c>
      <c r="B96" s="110" t="s">
        <v>47</v>
      </c>
      <c r="C96" s="28" t="s">
        <v>3</v>
      </c>
      <c r="D96" s="13">
        <v>0</v>
      </c>
      <c r="E96" s="22">
        <v>450</v>
      </c>
      <c r="F96" s="14">
        <f t="shared" si="6"/>
        <v>0</v>
      </c>
      <c r="G96" s="76"/>
      <c r="H96" s="93">
        <v>250</v>
      </c>
      <c r="I96" s="80">
        <f t="shared" si="7"/>
        <v>0</v>
      </c>
      <c r="J96" s="78">
        <f t="shared" si="8"/>
        <v>0</v>
      </c>
    </row>
    <row r="97" spans="1:10" s="73" customFormat="1" ht="14.25">
      <c r="A97" s="7">
        <v>20</v>
      </c>
      <c r="B97" s="114" t="s">
        <v>52</v>
      </c>
      <c r="C97" s="112" t="s">
        <v>3</v>
      </c>
      <c r="D97" s="13">
        <v>0</v>
      </c>
      <c r="E97" s="22">
        <v>6000</v>
      </c>
      <c r="F97" s="14">
        <f t="shared" si="6"/>
        <v>0</v>
      </c>
      <c r="G97" s="76"/>
      <c r="H97" s="93">
        <v>3500</v>
      </c>
      <c r="I97" s="80">
        <f t="shared" si="7"/>
        <v>0</v>
      </c>
      <c r="J97" s="78">
        <f t="shared" si="8"/>
        <v>0</v>
      </c>
    </row>
    <row r="98" spans="1:10" s="73" customFormat="1" ht="14.25">
      <c r="A98" s="7">
        <v>21</v>
      </c>
      <c r="B98" s="27" t="s">
        <v>29</v>
      </c>
      <c r="C98" s="28" t="s">
        <v>2</v>
      </c>
      <c r="D98" s="13">
        <v>0</v>
      </c>
      <c r="E98" s="22">
        <v>1200</v>
      </c>
      <c r="F98" s="14">
        <f t="shared" si="6"/>
        <v>0</v>
      </c>
      <c r="G98" s="76"/>
      <c r="H98" s="93">
        <v>550</v>
      </c>
      <c r="I98" s="80">
        <f t="shared" si="7"/>
        <v>0</v>
      </c>
      <c r="J98" s="78">
        <f t="shared" si="8"/>
        <v>0</v>
      </c>
    </row>
    <row r="99" spans="1:10" s="73" customFormat="1" ht="14.25">
      <c r="A99" s="7">
        <v>22</v>
      </c>
      <c r="B99" s="149" t="s">
        <v>88</v>
      </c>
      <c r="C99" s="28" t="s">
        <v>2</v>
      </c>
      <c r="D99" s="13">
        <v>0</v>
      </c>
      <c r="E99" s="22">
        <v>2500</v>
      </c>
      <c r="F99" s="14">
        <f t="shared" si="6"/>
        <v>0</v>
      </c>
      <c r="G99" s="76"/>
      <c r="H99" s="93">
        <v>1100</v>
      </c>
      <c r="I99" s="80">
        <f t="shared" si="7"/>
        <v>0</v>
      </c>
      <c r="J99" s="78">
        <f t="shared" si="8"/>
        <v>0</v>
      </c>
    </row>
    <row r="100" spans="1:10" s="76" customFormat="1">
      <c r="A100" s="7">
        <v>23</v>
      </c>
      <c r="B100" s="148" t="s">
        <v>76</v>
      </c>
      <c r="C100" s="143" t="s">
        <v>3</v>
      </c>
      <c r="D100" s="142">
        <v>0</v>
      </c>
      <c r="E100" s="137">
        <v>500</v>
      </c>
      <c r="F100" s="14">
        <f t="shared" si="6"/>
        <v>0</v>
      </c>
      <c r="H100" s="140">
        <v>250</v>
      </c>
      <c r="I100" s="80">
        <f t="shared" si="7"/>
        <v>0</v>
      </c>
      <c r="J100" s="78">
        <f t="shared" si="8"/>
        <v>0</v>
      </c>
    </row>
    <row r="101" spans="1:10" s="73" customFormat="1" ht="28.5">
      <c r="A101" s="7">
        <v>24</v>
      </c>
      <c r="B101" s="132" t="s">
        <v>30</v>
      </c>
      <c r="C101" s="112" t="s">
        <v>2</v>
      </c>
      <c r="D101" s="13">
        <v>0</v>
      </c>
      <c r="E101" s="22">
        <v>1500</v>
      </c>
      <c r="F101" s="14">
        <f t="shared" si="6"/>
        <v>0</v>
      </c>
      <c r="G101" s="76"/>
      <c r="H101" s="93">
        <v>650</v>
      </c>
      <c r="I101" s="80">
        <f t="shared" si="7"/>
        <v>0</v>
      </c>
      <c r="J101" s="78">
        <f t="shared" si="8"/>
        <v>0</v>
      </c>
    </row>
    <row r="102" spans="1:10" s="73" customFormat="1" ht="14.25">
      <c r="A102" s="7">
        <v>25</v>
      </c>
      <c r="B102" s="113" t="s">
        <v>53</v>
      </c>
      <c r="C102" s="112" t="s">
        <v>3</v>
      </c>
      <c r="D102" s="13">
        <v>0</v>
      </c>
      <c r="E102" s="22">
        <v>8000</v>
      </c>
      <c r="F102" s="14">
        <f t="shared" si="6"/>
        <v>0</v>
      </c>
      <c r="G102" s="76"/>
      <c r="H102" s="93">
        <v>3500</v>
      </c>
      <c r="I102" s="80">
        <f t="shared" si="7"/>
        <v>0</v>
      </c>
      <c r="J102" s="78">
        <f t="shared" si="8"/>
        <v>0</v>
      </c>
    </row>
    <row r="103" spans="1:10" s="73" customFormat="1" ht="28.5">
      <c r="A103" s="7">
        <v>26</v>
      </c>
      <c r="B103" s="113" t="s">
        <v>54</v>
      </c>
      <c r="C103" s="112" t="s">
        <v>3</v>
      </c>
      <c r="D103" s="13">
        <v>0</v>
      </c>
      <c r="E103" s="22">
        <v>1100</v>
      </c>
      <c r="F103" s="14">
        <f t="shared" si="6"/>
        <v>0</v>
      </c>
      <c r="G103" s="76"/>
      <c r="H103" s="93">
        <v>350</v>
      </c>
      <c r="I103" s="80">
        <f t="shared" si="7"/>
        <v>0</v>
      </c>
      <c r="J103" s="78">
        <f t="shared" si="8"/>
        <v>0</v>
      </c>
    </row>
    <row r="104" spans="1:10" s="73" customFormat="1" ht="28.5">
      <c r="A104" s="7">
        <v>27</v>
      </c>
      <c r="B104" s="122" t="s">
        <v>63</v>
      </c>
      <c r="C104" s="28" t="s">
        <v>2</v>
      </c>
      <c r="D104" s="15">
        <v>0</v>
      </c>
      <c r="E104" s="22">
        <v>600</v>
      </c>
      <c r="F104" s="14">
        <f t="shared" si="6"/>
        <v>0</v>
      </c>
      <c r="G104" s="76"/>
      <c r="H104" s="93">
        <v>200</v>
      </c>
      <c r="I104" s="80">
        <f t="shared" si="7"/>
        <v>0</v>
      </c>
      <c r="J104" s="78">
        <f t="shared" si="8"/>
        <v>0</v>
      </c>
    </row>
    <row r="105" spans="1:10" s="73" customFormat="1" ht="14.25">
      <c r="A105" s="7">
        <v>28</v>
      </c>
      <c r="B105" s="18" t="s">
        <v>24</v>
      </c>
      <c r="C105" s="28" t="s">
        <v>1</v>
      </c>
      <c r="D105" s="26">
        <v>0</v>
      </c>
      <c r="E105" s="22">
        <v>450</v>
      </c>
      <c r="F105" s="14">
        <f t="shared" si="6"/>
        <v>0</v>
      </c>
      <c r="G105" s="76"/>
      <c r="H105" s="93">
        <v>150</v>
      </c>
      <c r="I105" s="80">
        <f t="shared" si="7"/>
        <v>0</v>
      </c>
      <c r="J105" s="78">
        <f t="shared" si="8"/>
        <v>0</v>
      </c>
    </row>
    <row r="106" spans="1:10" s="73" customFormat="1" ht="14.25">
      <c r="A106" s="7">
        <v>29</v>
      </c>
      <c r="B106" s="20" t="s">
        <v>70</v>
      </c>
      <c r="C106" s="94" t="s">
        <v>1</v>
      </c>
      <c r="D106" s="95">
        <v>0</v>
      </c>
      <c r="E106" s="150">
        <v>0</v>
      </c>
      <c r="F106" s="14">
        <f t="shared" si="6"/>
        <v>0</v>
      </c>
      <c r="G106" s="76"/>
      <c r="H106" s="152">
        <v>0</v>
      </c>
      <c r="I106" s="80">
        <f t="shared" si="7"/>
        <v>0</v>
      </c>
      <c r="J106" s="78">
        <f t="shared" si="8"/>
        <v>0</v>
      </c>
    </row>
    <row r="107" spans="1:10" s="73" customFormat="1" ht="32.1" customHeight="1">
      <c r="A107" s="7">
        <v>30</v>
      </c>
      <c r="B107" s="24" t="s">
        <v>22</v>
      </c>
      <c r="C107" s="28" t="s">
        <v>2</v>
      </c>
      <c r="D107" s="13">
        <v>0</v>
      </c>
      <c r="E107" s="150">
        <v>0</v>
      </c>
      <c r="F107" s="14">
        <f t="shared" si="6"/>
        <v>0</v>
      </c>
      <c r="G107" s="76"/>
      <c r="H107" s="152">
        <v>0</v>
      </c>
      <c r="I107" s="80">
        <f t="shared" si="7"/>
        <v>0</v>
      </c>
      <c r="J107" s="78">
        <f t="shared" si="8"/>
        <v>0</v>
      </c>
    </row>
    <row r="108" spans="1:10" s="73" customFormat="1" ht="32.1" customHeight="1">
      <c r="A108" s="7">
        <v>31</v>
      </c>
      <c r="B108" s="123" t="s">
        <v>65</v>
      </c>
      <c r="C108" s="124" t="s">
        <v>2</v>
      </c>
      <c r="D108" s="13">
        <v>0</v>
      </c>
      <c r="E108" s="115">
        <v>1800</v>
      </c>
      <c r="F108" s="14">
        <f t="shared" si="6"/>
        <v>0</v>
      </c>
      <c r="G108" s="76"/>
      <c r="H108" s="93">
        <v>500</v>
      </c>
      <c r="I108" s="80">
        <f t="shared" si="7"/>
        <v>0</v>
      </c>
      <c r="J108" s="78">
        <f t="shared" si="8"/>
        <v>0</v>
      </c>
    </row>
    <row r="109" spans="1:10" s="73" customFormat="1" ht="14.25">
      <c r="A109" s="7">
        <v>32</v>
      </c>
      <c r="B109" s="123" t="s">
        <v>62</v>
      </c>
      <c r="C109" s="112" t="s">
        <v>2</v>
      </c>
      <c r="D109" s="13">
        <v>0</v>
      </c>
      <c r="E109" s="115">
        <v>1400</v>
      </c>
      <c r="F109" s="14">
        <f t="shared" si="6"/>
        <v>0</v>
      </c>
      <c r="G109" s="76"/>
      <c r="H109" s="93">
        <v>600</v>
      </c>
      <c r="I109" s="80">
        <f t="shared" si="7"/>
        <v>0</v>
      </c>
      <c r="J109" s="78">
        <f t="shared" si="8"/>
        <v>0</v>
      </c>
    </row>
    <row r="110" spans="1:10" s="73" customFormat="1">
      <c r="A110" s="82"/>
      <c r="B110" s="89" t="s">
        <v>50</v>
      </c>
      <c r="C110" s="84"/>
      <c r="D110" s="85"/>
      <c r="E110" s="96"/>
      <c r="F110" s="87"/>
      <c r="G110" s="76"/>
      <c r="H110" s="74"/>
      <c r="I110" s="75"/>
      <c r="J110" s="75"/>
    </row>
    <row r="111" spans="1:10" s="73" customFormat="1" ht="14.25">
      <c r="A111" s="7">
        <v>33</v>
      </c>
      <c r="B111" s="114" t="s">
        <v>51</v>
      </c>
      <c r="C111" s="111" t="s">
        <v>3</v>
      </c>
      <c r="D111" s="15">
        <v>0</v>
      </c>
      <c r="E111" s="22">
        <v>1000</v>
      </c>
      <c r="F111" s="14">
        <f t="shared" ref="F111:F116" si="9">D111*E111</f>
        <v>0</v>
      </c>
      <c r="G111" s="76"/>
      <c r="H111" s="93">
        <v>350</v>
      </c>
      <c r="I111" s="80">
        <f t="shared" ref="I111:I116" si="10">D111*H111</f>
        <v>0</v>
      </c>
      <c r="J111" s="78">
        <f t="shared" ref="J111:J116" si="11">F111-I111</f>
        <v>0</v>
      </c>
    </row>
    <row r="112" spans="1:10" s="73" customFormat="1" ht="14.25">
      <c r="A112" s="7">
        <v>34</v>
      </c>
      <c r="B112" s="65" t="s">
        <v>23</v>
      </c>
      <c r="C112" s="111" t="s">
        <v>3</v>
      </c>
      <c r="D112" s="13">
        <v>0</v>
      </c>
      <c r="E112" s="22">
        <v>650</v>
      </c>
      <c r="F112" s="14">
        <f t="shared" si="9"/>
        <v>0</v>
      </c>
      <c r="G112" s="76"/>
      <c r="H112" s="93">
        <v>400</v>
      </c>
      <c r="I112" s="80">
        <f t="shared" si="10"/>
        <v>0</v>
      </c>
      <c r="J112" s="78">
        <f t="shared" si="11"/>
        <v>0</v>
      </c>
    </row>
    <row r="113" spans="1:10" s="73" customFormat="1" ht="14.25">
      <c r="A113" s="7">
        <v>35</v>
      </c>
      <c r="B113" s="65" t="s">
        <v>48</v>
      </c>
      <c r="C113" s="28" t="s">
        <v>2</v>
      </c>
      <c r="D113" s="13">
        <v>0</v>
      </c>
      <c r="E113" s="22">
        <v>420</v>
      </c>
      <c r="F113" s="14">
        <f t="shared" si="9"/>
        <v>0</v>
      </c>
      <c r="G113" s="76"/>
      <c r="H113" s="93">
        <v>170</v>
      </c>
      <c r="I113" s="80">
        <f t="shared" si="10"/>
        <v>0</v>
      </c>
      <c r="J113" s="78">
        <f t="shared" si="11"/>
        <v>0</v>
      </c>
    </row>
    <row r="114" spans="1:10" s="73" customFormat="1" ht="14.25">
      <c r="A114" s="7">
        <v>36</v>
      </c>
      <c r="B114" s="65" t="s">
        <v>49</v>
      </c>
      <c r="C114" s="28" t="s">
        <v>3</v>
      </c>
      <c r="D114" s="13">
        <v>0</v>
      </c>
      <c r="E114" s="22">
        <v>1400</v>
      </c>
      <c r="F114" s="14">
        <f t="shared" si="9"/>
        <v>0</v>
      </c>
      <c r="G114" s="76"/>
      <c r="H114" s="93">
        <v>600</v>
      </c>
      <c r="I114" s="80">
        <f t="shared" si="10"/>
        <v>0</v>
      </c>
      <c r="J114" s="78">
        <f t="shared" si="11"/>
        <v>0</v>
      </c>
    </row>
    <row r="115" spans="1:10" s="73" customFormat="1" ht="14.25">
      <c r="A115" s="7">
        <v>37</v>
      </c>
      <c r="B115" s="121" t="s">
        <v>55</v>
      </c>
      <c r="C115" s="112" t="s">
        <v>3</v>
      </c>
      <c r="D115" s="13">
        <v>0</v>
      </c>
      <c r="E115" s="22">
        <v>1400</v>
      </c>
      <c r="F115" s="14">
        <f t="shared" si="9"/>
        <v>0</v>
      </c>
      <c r="G115" s="76"/>
      <c r="H115" s="93">
        <v>600</v>
      </c>
      <c r="I115" s="80">
        <f t="shared" si="10"/>
        <v>0</v>
      </c>
      <c r="J115" s="78">
        <f t="shared" si="11"/>
        <v>0</v>
      </c>
    </row>
    <row r="116" spans="1:10" s="73" customFormat="1" ht="14.25">
      <c r="A116" s="7">
        <v>38</v>
      </c>
      <c r="B116" s="122" t="s">
        <v>64</v>
      </c>
      <c r="C116" s="28" t="s">
        <v>3</v>
      </c>
      <c r="D116" s="13">
        <v>0</v>
      </c>
      <c r="E116" s="22">
        <v>250</v>
      </c>
      <c r="F116" s="14">
        <f t="shared" si="9"/>
        <v>0</v>
      </c>
      <c r="G116" s="76"/>
      <c r="H116" s="93">
        <v>100</v>
      </c>
      <c r="I116" s="80">
        <f t="shared" si="10"/>
        <v>0</v>
      </c>
      <c r="J116" s="78">
        <f t="shared" si="11"/>
        <v>0</v>
      </c>
    </row>
    <row r="117" spans="1:10" s="73" customFormat="1" ht="14.25">
      <c r="A117" s="16"/>
      <c r="B117" s="8"/>
      <c r="C117" s="9"/>
      <c r="D117" s="10"/>
      <c r="E117" s="11"/>
      <c r="F117" s="17"/>
      <c r="G117" s="76"/>
      <c r="H117" s="97"/>
      <c r="I117" s="98"/>
      <c r="J117" s="99"/>
    </row>
    <row r="118" spans="1:10" s="73" customFormat="1">
      <c r="A118" s="90"/>
      <c r="B118" s="226" t="s">
        <v>12</v>
      </c>
      <c r="C118" s="226"/>
      <c r="D118" s="91"/>
      <c r="E118" s="91"/>
      <c r="F118" s="92">
        <f>SUM(F75:F116)</f>
        <v>0</v>
      </c>
      <c r="G118" s="76"/>
      <c r="H118" s="102"/>
      <c r="I118" s="104">
        <f>SUM(I75:I116)</f>
        <v>0</v>
      </c>
      <c r="J118" s="104">
        <f>SUM(J75:J116)</f>
        <v>0</v>
      </c>
    </row>
    <row r="119" spans="1:10" ht="15.75">
      <c r="A119" s="57"/>
      <c r="B119" s="58"/>
      <c r="C119" s="58"/>
      <c r="D119" s="58"/>
      <c r="E119" s="58"/>
      <c r="J119" s="59"/>
    </row>
    <row r="120" spans="1:10" ht="15" customHeight="1">
      <c r="A120" s="1"/>
      <c r="B120" s="2" t="s">
        <v>11</v>
      </c>
      <c r="C120" s="25"/>
      <c r="D120" s="3"/>
      <c r="E120" s="25"/>
      <c r="F120" s="4">
        <f>F69</f>
        <v>0</v>
      </c>
      <c r="H120" s="60"/>
      <c r="I120" s="4">
        <f>I69</f>
        <v>0</v>
      </c>
      <c r="J120" s="61">
        <f>J69</f>
        <v>0</v>
      </c>
    </row>
    <row r="121" spans="1:10" ht="15" customHeight="1">
      <c r="A121" s="1"/>
      <c r="B121" s="2" t="s">
        <v>14</v>
      </c>
      <c r="C121" s="25"/>
      <c r="D121" s="3"/>
      <c r="E121" s="25"/>
      <c r="F121" s="4">
        <f>F118</f>
        <v>0</v>
      </c>
      <c r="H121" s="60"/>
      <c r="I121" s="4">
        <f>I118</f>
        <v>0</v>
      </c>
      <c r="J121" s="61">
        <f>J118</f>
        <v>0</v>
      </c>
    </row>
    <row r="122" spans="1:10" ht="15" customHeight="1">
      <c r="A122" s="1"/>
      <c r="B122" s="1" t="s">
        <v>91</v>
      </c>
      <c r="C122" s="25"/>
      <c r="D122" s="3"/>
      <c r="E122" s="154">
        <v>0</v>
      </c>
      <c r="F122" s="4">
        <f>F118*E122</f>
        <v>0</v>
      </c>
      <c r="H122" s="60"/>
      <c r="I122" s="62"/>
      <c r="J122" s="63"/>
    </row>
    <row r="123" spans="1:10" ht="15" customHeight="1">
      <c r="A123" s="1"/>
      <c r="B123" s="236" t="s">
        <v>37</v>
      </c>
      <c r="C123" s="237"/>
      <c r="D123" s="237"/>
      <c r="E123" s="6">
        <v>0.06</v>
      </c>
      <c r="F123" s="4">
        <f>F120*0.06</f>
        <v>0</v>
      </c>
      <c r="H123" s="60"/>
      <c r="I123" s="62"/>
      <c r="J123" s="63"/>
    </row>
    <row r="124" spans="1:10" ht="15" customHeight="1">
      <c r="A124" s="70"/>
      <c r="B124" s="66" t="s">
        <v>127</v>
      </c>
      <c r="C124" s="67"/>
      <c r="D124" s="68"/>
      <c r="E124" s="67"/>
      <c r="F124" s="69">
        <f>SUM(F120:F123)</f>
        <v>0</v>
      </c>
      <c r="H124" s="60"/>
      <c r="I124" s="4">
        <f>SUM(I120:I123)</f>
        <v>0</v>
      </c>
      <c r="J124" s="61">
        <f>SUM(J120:J123)</f>
        <v>0</v>
      </c>
    </row>
    <row r="126" spans="1:10" s="160" customFormat="1">
      <c r="G126" s="43"/>
      <c r="I126" s="34"/>
      <c r="J126" s="34"/>
    </row>
    <row r="127" spans="1:10" s="160" customFormat="1">
      <c r="G127" s="43"/>
      <c r="I127" s="34"/>
      <c r="J127" s="34"/>
    </row>
    <row r="128" spans="1:10" s="160" customFormat="1">
      <c r="G128" s="43"/>
      <c r="I128" s="34"/>
      <c r="J128" s="34"/>
    </row>
    <row r="129" spans="1:10" s="159" customFormat="1">
      <c r="G129" s="43"/>
      <c r="I129" s="34"/>
      <c r="J129" s="34"/>
    </row>
    <row r="130" spans="1:10" s="160" customFormat="1">
      <c r="A130" s="220"/>
      <c r="B130" s="221" t="s">
        <v>126</v>
      </c>
      <c r="G130" s="43"/>
      <c r="I130" s="34"/>
      <c r="J130" s="34"/>
    </row>
    <row r="131" spans="1:10" s="160" customFormat="1">
      <c r="A131" s="218"/>
      <c r="B131" s="219" t="s">
        <v>134</v>
      </c>
      <c r="G131" s="43"/>
      <c r="I131" s="34"/>
      <c r="J131" s="34"/>
    </row>
    <row r="132" spans="1:10">
      <c r="A132" s="151"/>
      <c r="B132" s="157" t="s">
        <v>133</v>
      </c>
    </row>
    <row r="133" spans="1:10">
      <c r="A133" s="153"/>
      <c r="B133" s="156" t="s">
        <v>92</v>
      </c>
      <c r="C133" s="224" t="s">
        <v>38</v>
      </c>
      <c r="D133" s="225"/>
      <c r="E133" s="155">
        <v>0.2</v>
      </c>
      <c r="H133" s="34"/>
      <c r="J133" s="33"/>
    </row>
    <row r="134" spans="1:10">
      <c r="A134" s="153"/>
      <c r="B134" s="156" t="s">
        <v>93</v>
      </c>
      <c r="C134" s="224" t="s">
        <v>38</v>
      </c>
      <c r="D134" s="225"/>
      <c r="E134" s="155">
        <v>0.3</v>
      </c>
      <c r="H134" s="34"/>
      <c r="J134" s="33"/>
    </row>
    <row r="135" spans="1:10">
      <c r="H135" s="34"/>
      <c r="J135" s="33"/>
    </row>
  </sheetData>
  <mergeCells count="15">
    <mergeCell ref="A2:D2"/>
    <mergeCell ref="B3:D3"/>
    <mergeCell ref="C10:D10"/>
    <mergeCell ref="A12:F12"/>
    <mergeCell ref="B123:D123"/>
    <mergeCell ref="C134:D134"/>
    <mergeCell ref="E2:F2"/>
    <mergeCell ref="C7:D7"/>
    <mergeCell ref="B118:C118"/>
    <mergeCell ref="H12:J12"/>
    <mergeCell ref="C133:D133"/>
    <mergeCell ref="B69:C69"/>
    <mergeCell ref="A9:B9"/>
    <mergeCell ref="C9:D9"/>
    <mergeCell ref="A10:B10"/>
  </mergeCells>
  <pageMargins left="0.55118110236220474" right="0.23622047244094491" top="0.35433070866141736" bottom="0.35433070866141736" header="0.31496062992125984" footer="0"/>
  <pageSetup paperSize="9" scale="73" fitToHeight="0" orientation="portrait" r:id="rId1"/>
  <rowBreaks count="1" manualBreakCount="1">
    <brk id="61" max="5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Инна</cp:lastModifiedBy>
  <cp:lastPrinted>2026-02-04T18:17:28Z</cp:lastPrinted>
  <dcterms:created xsi:type="dcterms:W3CDTF">2021-01-26T13:07:38Z</dcterms:created>
  <dcterms:modified xsi:type="dcterms:W3CDTF">2026-09-09T11:59:36Z</dcterms:modified>
</cp:coreProperties>
</file>